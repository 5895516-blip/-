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ча 1" sheetId="1" state="visible" r:id="rId3"/>
    <sheet name="Задача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<sst xmlns="http://schemas.openxmlformats.org/spreadsheetml/2006/main" count="52" uniqueCount="46">
  <si>
    <t xml:space="preserve">Вариант 1. Тальян Антон</t>
  </si>
  <si>
    <t xml:space="preserve">Задача 1. Отбор 10% предприятий из 100 методом прямой реализации (простая случайная выборка без возвращения)</t>
  </si>
  <si>
    <t xml:space="preserve">N =</t>
  </si>
  <si>
    <t xml:space="preserve">доля отбора</t>
  </si>
  <si>
    <t xml:space="preserve">n =</t>
  </si>
  <si>
    <t xml:space="preserve">Таблица случайных чисел</t>
  </si>
  <si>
    <t xml:space="preserve">Начальный столбец (выбран случайно от 1 до 7):</t>
  </si>
  <si>
    <t xml:space="preserve">Читаем столбец сверху вниз, когда он кончается - следующий столбец. Берем две последние цифры числа (00 = 100), повторы пропускаем.</t>
  </si>
  <si>
    <t xml:space="preserve">№ шага</t>
  </si>
  <si>
    <t xml:space="preserve">Случайное число</t>
  </si>
  <si>
    <t xml:space="preserve">Две последние цифры</t>
  </si>
  <si>
    <t xml:space="preserve">Результат</t>
  </si>
  <si>
    <t xml:space="preserve">В выборку</t>
  </si>
  <si>
    <t xml:space="preserve">Выборка (по возрастанию):</t>
  </si>
  <si>
    <t xml:space="preserve">№ п/п</t>
  </si>
  <si>
    <t xml:space="preserve">№ предприятия</t>
  </si>
  <si>
    <t xml:space="preserve">Отобрано предприятий:</t>
  </si>
  <si>
    <t xml:space="preserve">Доля отбора:</t>
  </si>
  <si>
    <t xml:space="preserve">Задача 2</t>
  </si>
  <si>
    <t xml:space="preserve">Все возможные выборки по 3 предприятия из 10</t>
  </si>
  <si>
    <t xml:space="preserve">Фамилия на букву Т - колонка 14 табл. 1 приложения 1</t>
  </si>
  <si>
    <t xml:space="preserve">№</t>
  </si>
  <si>
    <t xml:space="preserve">№ п/п 1</t>
  </si>
  <si>
    <t xml:space="preserve">№ п/п 2</t>
  </si>
  <si>
    <t xml:space="preserve">№ п/п 3</t>
  </si>
  <si>
    <t xml:space="preserve">Предприятия</t>
  </si>
  <si>
    <t xml:space="preserve">Средняя</t>
  </si>
  <si>
    <t xml:space="preserve">Генеральная совокупность - 10 предприятий из задачи 1 (N = 10), отбираем n = 3 без повторения</t>
  </si>
  <si>
    <t xml:space="preserve">Значение (колонка 14)</t>
  </si>
  <si>
    <t xml:space="preserve">&lt;- значения из приложения 1</t>
  </si>
  <si>
    <t xml:space="preserve">Сумма</t>
  </si>
  <si>
    <t xml:space="preserve">Хср</t>
  </si>
  <si>
    <t xml:space="preserve">Количество сочетаний C(10;3) =</t>
  </si>
  <si>
    <t xml:space="preserve">то же через факториалы 10!/(3!*7!) =</t>
  </si>
  <si>
    <t xml:space="preserve">Отбор 3 предприятий: продолжаем таблицу случайных чисел (1 столбец, 2 строка), последняя цифра = № п/п (0 = 10)</t>
  </si>
  <si>
    <t xml:space="preserve">Последняя цифра</t>
  </si>
  <si>
    <t xml:space="preserve">Значение</t>
  </si>
  <si>
    <t xml:space="preserve">хср</t>
  </si>
  <si>
    <t xml:space="preserve">хср - Хср</t>
  </si>
  <si>
    <t xml:space="preserve">Проверка на несмещенность (все 120 выборок в столбцах H:M)</t>
  </si>
  <si>
    <t xml:space="preserve">Среднее из 120 выборочных средних M(хср) =</t>
  </si>
  <si>
    <t xml:space="preserve">Генеральная средняя Хср =</t>
  </si>
  <si>
    <t xml:space="preserve">Каждое предприятие входит в C(9;2) =</t>
  </si>
  <si>
    <t xml:space="preserve">Средние выборок: от</t>
  </si>
  <si>
    <t xml:space="preserve">до</t>
  </si>
  <si>
    <t xml:space="preserve">Вывод: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</si>
</sst>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000"/>
    <numFmt numFmtId="167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6"/>
    <col collapsed="false" customWidth="true" hidden="false" outlineLevel="0" max="8" min="6" style="0" width="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1" t="s">
        <v>2</v>
      </c>
      <c r="B4" s="1" t="n">
        <v>100</v>
      </c>
    </row>
    <row r="5" customFormat="false" ht="15" hidden="false" customHeight="false" outlineLevel="0" collapsed="false">
      <c r="A5" s="1" t="s">
        <v>3</v>
      </c>
      <c r="B5" s="2" t="n">
        <v>0.1</v>
      </c>
    </row>
    <row r="6" customFormat="false" ht="15" hidden="false" customHeight="false" outlineLevel="0" collapsed="false">
      <c r="A6" s="1" t="s">
        <v>4</v>
      </c>
      <c r="B6" s="1" t="n">
        <f aca="false">B4*B5</f>
        <v>10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3"/>
      <c r="B9" s="3" t="n">
        <v>1</v>
      </c>
      <c r="C9" s="3" t="n">
        <v>2</v>
      </c>
      <c r="D9" s="3" t="n">
        <v>3</v>
      </c>
      <c r="E9" s="3" t="n">
        <v>4</v>
      </c>
      <c r="F9" s="3" t="n">
        <v>5</v>
      </c>
      <c r="G9" s="3" t="n">
        <v>6</v>
      </c>
      <c r="H9" s="3" t="n">
        <v>7</v>
      </c>
    </row>
    <row r="10" customFormat="false" ht="15" hidden="false" customHeight="false" outlineLevel="0" collapsed="false">
      <c r="A10" s="3" t="n">
        <v>1</v>
      </c>
      <c r="B10" s="4" t="n">
        <v>6955</v>
      </c>
      <c r="C10" s="4" t="n">
        <v>6141</v>
      </c>
      <c r="D10" s="4" t="n">
        <v>9951</v>
      </c>
      <c r="E10" s="4" t="n">
        <v>3439</v>
      </c>
      <c r="F10" s="4" t="n">
        <v>590</v>
      </c>
      <c r="G10" s="4" t="n">
        <v>8376</v>
      </c>
      <c r="H10" s="4" t="n">
        <v>5585</v>
      </c>
    </row>
    <row r="11" customFormat="false" ht="15" hidden="false" customHeight="false" outlineLevel="0" collapsed="false">
      <c r="A11" s="3" t="n">
        <v>2</v>
      </c>
      <c r="B11" s="4" t="n">
        <v>4877</v>
      </c>
      <c r="C11" s="4" t="n">
        <v>2580</v>
      </c>
      <c r="D11" s="4" t="n">
        <v>6212</v>
      </c>
      <c r="E11" s="4" t="n">
        <v>1359</v>
      </c>
      <c r="F11" s="4" t="n">
        <v>1053</v>
      </c>
      <c r="G11" s="4" t="n">
        <v>8073</v>
      </c>
      <c r="H11" s="4" t="n">
        <v>2121</v>
      </c>
    </row>
    <row r="12" customFormat="false" ht="15" hidden="false" customHeight="false" outlineLevel="0" collapsed="false">
      <c r="A12" s="3" t="n">
        <v>3</v>
      </c>
      <c r="B12" s="4" t="n">
        <v>4591</v>
      </c>
      <c r="C12" s="4" t="n">
        <v>5575</v>
      </c>
      <c r="D12" s="4" t="n">
        <v>7851</v>
      </c>
      <c r="E12" s="4" t="n">
        <v>884</v>
      </c>
      <c r="F12" s="4" t="n">
        <v>2869</v>
      </c>
      <c r="G12" s="4" t="n">
        <v>4514</v>
      </c>
      <c r="H12" s="4" t="n">
        <v>672</v>
      </c>
    </row>
    <row r="13" customFormat="false" ht="15" hidden="false" customHeight="false" outlineLevel="0" collapsed="false">
      <c r="A13" s="3" t="n">
        <v>4</v>
      </c>
      <c r="B13" s="4" t="n">
        <v>9378</v>
      </c>
      <c r="C13" s="4" t="n">
        <v>2205</v>
      </c>
      <c r="D13" s="4" t="n">
        <v>4373</v>
      </c>
      <c r="E13" s="4" t="n">
        <v>9690</v>
      </c>
      <c r="F13" s="4" t="n">
        <v>4018</v>
      </c>
      <c r="G13" s="4" t="n">
        <v>9670</v>
      </c>
      <c r="H13" s="4" t="n">
        <v>5164</v>
      </c>
    </row>
    <row r="14" customFormat="false" ht="15" hidden="false" customHeight="false" outlineLevel="0" collapsed="false">
      <c r="A14" s="3" t="n">
        <v>5</v>
      </c>
      <c r="B14" s="4" t="n">
        <v>1578</v>
      </c>
      <c r="C14" s="4" t="n">
        <v>247</v>
      </c>
      <c r="D14" s="4" t="n">
        <v>9108</v>
      </c>
      <c r="E14" s="4" t="n">
        <v>8830</v>
      </c>
      <c r="F14" s="4" t="n">
        <v>8485</v>
      </c>
      <c r="G14" s="4" t="n">
        <v>5948</v>
      </c>
      <c r="H14" s="4" t="n">
        <v>3325</v>
      </c>
    </row>
    <row r="15" customFormat="false" ht="15" hidden="false" customHeight="false" outlineLevel="0" collapsed="false">
      <c r="A15" s="3" t="n">
        <v>6</v>
      </c>
      <c r="B15" s="4" t="n">
        <v>5597</v>
      </c>
      <c r="C15" s="4" t="n">
        <v>2216</v>
      </c>
      <c r="D15" s="4" t="n">
        <v>1203</v>
      </c>
      <c r="E15" s="4" t="n">
        <v>9897</v>
      </c>
      <c r="F15" s="4" t="n">
        <v>6086</v>
      </c>
      <c r="G15" s="4" t="n">
        <v>6916</v>
      </c>
      <c r="H15" s="4" t="n">
        <v>3135</v>
      </c>
    </row>
    <row r="16" customFormat="false" ht="15" hidden="false" customHeight="false" outlineLevel="0" collapsed="false">
      <c r="A16" s="3" t="n">
        <v>7</v>
      </c>
      <c r="B16" s="4" t="n">
        <v>8773</v>
      </c>
      <c r="C16" s="4" t="n">
        <v>2443</v>
      </c>
      <c r="D16" s="4" t="n">
        <v>6686</v>
      </c>
      <c r="E16" s="4" t="n">
        <v>926</v>
      </c>
      <c r="F16" s="4" t="n">
        <v>9329</v>
      </c>
      <c r="G16" s="4" t="n">
        <v>8220</v>
      </c>
      <c r="H16" s="4" t="n">
        <v>865</v>
      </c>
    </row>
    <row r="17" customFormat="false" ht="15" hidden="false" customHeight="false" outlineLevel="0" collapsed="false">
      <c r="A17" s="3" t="n">
        <v>8</v>
      </c>
      <c r="B17" s="4" t="n">
        <v>3173</v>
      </c>
      <c r="C17" s="4" t="n">
        <v>1019</v>
      </c>
      <c r="D17" s="4" t="n">
        <v>8089</v>
      </c>
      <c r="E17" s="4" t="n">
        <v>9283</v>
      </c>
      <c r="F17" s="4" t="n">
        <v>3592</v>
      </c>
      <c r="G17" s="4" t="n">
        <v>8447</v>
      </c>
      <c r="H17" s="4" t="n">
        <v>11</v>
      </c>
    </row>
    <row r="18" customFormat="false" ht="15" hidden="false" customHeight="false" outlineLevel="0" collapsed="false">
      <c r="A18" s="3" t="n">
        <v>9</v>
      </c>
      <c r="B18" s="4" t="n">
        <v>802</v>
      </c>
      <c r="C18" s="4" t="n">
        <v>6442</v>
      </c>
      <c r="D18" s="4" t="n">
        <v>6426</v>
      </c>
      <c r="E18" s="4" t="n">
        <v>946</v>
      </c>
      <c r="F18" s="4" t="n">
        <v>9464</v>
      </c>
      <c r="G18" s="4" t="n">
        <v>4417</v>
      </c>
      <c r="H18" s="4" t="n">
        <v>2835</v>
      </c>
    </row>
    <row r="19" customFormat="false" ht="15" hidden="false" customHeight="false" outlineLevel="0" collapsed="false">
      <c r="A19" s="3" t="n">
        <v>10</v>
      </c>
      <c r="B19" s="4" t="n">
        <v>3174</v>
      </c>
      <c r="C19" s="4" t="n">
        <v>7609</v>
      </c>
      <c r="D19" s="4" t="n">
        <v>4862</v>
      </c>
      <c r="E19" s="4" t="n">
        <v>8646</v>
      </c>
      <c r="F19" s="4" t="n">
        <v>4358</v>
      </c>
      <c r="G19" s="4" t="n">
        <v>493</v>
      </c>
      <c r="H19" s="4" t="n">
        <v>6623</v>
      </c>
    </row>
    <row r="21" customFormat="false" ht="15" hidden="false" customHeight="false" outlineLevel="0" collapsed="false">
      <c r="A21" s="1" t="s">
        <v>6</v>
      </c>
      <c r="G21" s="1" t="n">
        <v>7</v>
      </c>
    </row>
    <row r="22" customFormat="false" ht="15" hidden="false" customHeight="false" outlineLevel="0" collapsed="false">
      <c r="A22" s="1" t="s">
        <v>7</v>
      </c>
    </row>
    <row r="24" customFormat="false" ht="26.85" hidden="false" customHeight="false" outlineLevel="0" collapsed="false">
      <c r="A24" s="3" t="s">
        <v>8</v>
      </c>
      <c r="B24" s="3" t="s">
        <v>9</v>
      </c>
      <c r="C24" s="3" t="s">
        <v>10</v>
      </c>
      <c r="D24" s="3" t="s">
        <v>11</v>
      </c>
      <c r="E24" s="3" t="s">
        <v>12</v>
      </c>
    </row>
    <row r="25" customFormat="false" ht="15" hidden="false" customHeight="false" outlineLevel="0" collapsed="false">
      <c r="A25" s="3" t="n">
        <v>1</v>
      </c>
      <c r="B25" s="4" t="n">
        <f aca="false">H10</f>
        <v>5585</v>
      </c>
      <c r="C25" s="3" t="n">
        <f aca="false">IF(MOD(B25,100)=0,100,MOD(B25,100))</f>
        <v>85</v>
      </c>
      <c r="D25" s="3" t="str">
        <f aca="false">IF(COUNTIF(C$24:C24,C25)&gt;0,"повтор, пропуск","отобрано")</f>
        <v>отобрано</v>
      </c>
      <c r="E25" s="3" t="n">
        <f aca="false">IF(D25="отобрано",C25,"")</f>
        <v>85</v>
      </c>
    </row>
    <row r="26" customFormat="false" ht="15" hidden="false" customHeight="false" outlineLevel="0" collapsed="false">
      <c r="A26" s="3" t="n">
        <v>2</v>
      </c>
      <c r="B26" s="4" t="n">
        <f aca="false">H11</f>
        <v>2121</v>
      </c>
      <c r="C26" s="3" t="n">
        <f aca="false">IF(MOD(B26,100)=0,100,MOD(B26,100))</f>
        <v>21</v>
      </c>
      <c r="D26" s="3" t="str">
        <f aca="false">IF(COUNTIF(C$24:C25,C26)&gt;0,"повтор, пропуск","отобрано")</f>
        <v>отобрано</v>
      </c>
      <c r="E26" s="3" t="n">
        <f aca="false">IF(D26="отобрано",C26,"")</f>
        <v>21</v>
      </c>
    </row>
    <row r="27" customFormat="false" ht="15" hidden="false" customHeight="false" outlineLevel="0" collapsed="false">
      <c r="A27" s="3" t="n">
        <v>3</v>
      </c>
      <c r="B27" s="4" t="n">
        <f aca="false">H12</f>
        <v>672</v>
      </c>
      <c r="C27" s="3" t="n">
        <f aca="false">IF(MOD(B27,100)=0,100,MOD(B27,100))</f>
        <v>72</v>
      </c>
      <c r="D27" s="3" t="str">
        <f aca="false">IF(COUNTIF(C$24:C26,C27)&gt;0,"повтор, пропуск","отобрано")</f>
        <v>отобрано</v>
      </c>
      <c r="E27" s="3" t="n">
        <f aca="false">IF(D27="отобрано",C27,"")</f>
        <v>72</v>
      </c>
    </row>
    <row r="28" customFormat="false" ht="15" hidden="false" customHeight="false" outlineLevel="0" collapsed="false">
      <c r="A28" s="3" t="n">
        <v>4</v>
      </c>
      <c r="B28" s="4" t="n">
        <f aca="false">H13</f>
        <v>5164</v>
      </c>
      <c r="C28" s="3" t="n">
        <f aca="false">IF(MOD(B28,100)=0,100,MOD(B28,100))</f>
        <v>64</v>
      </c>
      <c r="D28" s="3" t="str">
        <f aca="false">IF(COUNTIF(C$24:C27,C28)&gt;0,"повтор, пропуск","отобрано")</f>
        <v>отобрано</v>
      </c>
      <c r="E28" s="3" t="n">
        <f aca="false">IF(D28="отобрано",C28,"")</f>
        <v>64</v>
      </c>
    </row>
    <row r="29" customFormat="false" ht="15" hidden="false" customHeight="false" outlineLevel="0" collapsed="false">
      <c r="A29" s="3" t="n">
        <v>5</v>
      </c>
      <c r="B29" s="4" t="n">
        <f aca="false">H14</f>
        <v>3325</v>
      </c>
      <c r="C29" s="3" t="n">
        <f aca="false">IF(MOD(B29,100)=0,100,MOD(B29,100))</f>
        <v>25</v>
      </c>
      <c r="D29" s="3" t="str">
        <f aca="false">IF(COUNTIF(C$24:C28,C29)&gt;0,"повтор, пропуск","отобрано")</f>
        <v>отобрано</v>
      </c>
      <c r="E29" s="3" t="n">
        <f aca="false">IF(D29="отобрано",C29,"")</f>
        <v>25</v>
      </c>
    </row>
    <row r="30" customFormat="false" ht="15" hidden="false" customHeight="false" outlineLevel="0" collapsed="false">
      <c r="A30" s="3" t="n">
        <v>6</v>
      </c>
      <c r="B30" s="4" t="n">
        <f aca="false">H15</f>
        <v>3135</v>
      </c>
      <c r="C30" s="3" t="n">
        <f aca="false">IF(MOD(B30,100)=0,100,MOD(B30,100))</f>
        <v>35</v>
      </c>
      <c r="D30" s="3" t="str">
        <f aca="false">IF(COUNTIF(C$24:C29,C30)&gt;0,"повтор, пропуск","отобрано")</f>
        <v>отобрано</v>
      </c>
      <c r="E30" s="3" t="n">
        <f aca="false">IF(D30="отобрано",C30,"")</f>
        <v>35</v>
      </c>
    </row>
    <row r="31" customFormat="false" ht="15" hidden="false" customHeight="false" outlineLevel="0" collapsed="false">
      <c r="A31" s="3" t="n">
        <v>7</v>
      </c>
      <c r="B31" s="4" t="n">
        <f aca="false">H16</f>
        <v>865</v>
      </c>
      <c r="C31" s="3" t="n">
        <f aca="false">IF(MOD(B31,100)=0,100,MOD(B31,100))</f>
        <v>65</v>
      </c>
      <c r="D31" s="3" t="str">
        <f aca="false">IF(COUNTIF(C$24:C30,C31)&gt;0,"повтор, пропуск","отобрано")</f>
        <v>отобрано</v>
      </c>
      <c r="E31" s="3" t="n">
        <f aca="false">IF(D31="отобрано",C31,"")</f>
        <v>65</v>
      </c>
    </row>
    <row r="32" customFormat="false" ht="15" hidden="false" customHeight="false" outlineLevel="0" collapsed="false">
      <c r="A32" s="3" t="n">
        <v>8</v>
      </c>
      <c r="B32" s="4" t="n">
        <f aca="false">H17</f>
        <v>11</v>
      </c>
      <c r="C32" s="3" t="n">
        <f aca="false">IF(MOD(B32,100)=0,100,MOD(B32,100))</f>
        <v>11</v>
      </c>
      <c r="D32" s="3" t="str">
        <f aca="false">IF(COUNTIF(C$24:C31,C32)&gt;0,"повтор, пропуск","отобрано")</f>
        <v>отобрано</v>
      </c>
      <c r="E32" s="3" t="n">
        <f aca="false">IF(D32="отобрано",C32,"")</f>
        <v>11</v>
      </c>
    </row>
    <row r="33" customFormat="false" ht="15" hidden="false" customHeight="false" outlineLevel="0" collapsed="false">
      <c r="A33" s="3" t="n">
        <v>9</v>
      </c>
      <c r="B33" s="4" t="n">
        <f aca="false">H18</f>
        <v>2835</v>
      </c>
      <c r="C33" s="3" t="n">
        <f aca="false">IF(MOD(B33,100)=0,100,MOD(B33,100))</f>
        <v>35</v>
      </c>
      <c r="D33" s="3" t="str">
        <f aca="false">IF(COUNTIF(C$24:C32,C33)&gt;0,"повтор, пропуск","отобрано")</f>
        <v>повтор, пропуск</v>
      </c>
      <c r="E33" s="3" t="str">
        <f aca="false">IF(D33="отобрано",C33,"")</f>
        <v/>
      </c>
    </row>
    <row r="34" customFormat="false" ht="15" hidden="false" customHeight="false" outlineLevel="0" collapsed="false">
      <c r="A34" s="3" t="n">
        <v>10</v>
      </c>
      <c r="B34" s="4" t="n">
        <f aca="false">H19</f>
        <v>6623</v>
      </c>
      <c r="C34" s="3" t="n">
        <f aca="false">IF(MOD(B34,100)=0,100,MOD(B34,100))</f>
        <v>23</v>
      </c>
      <c r="D34" s="3" t="str">
        <f aca="false">IF(COUNTIF(C$24:C33,C34)&gt;0,"повтор, пропуск","отобрано")</f>
        <v>отобрано</v>
      </c>
      <c r="E34" s="3" t="n">
        <f aca="false">IF(D34="отобрано",C34,"")</f>
        <v>23</v>
      </c>
    </row>
    <row r="35" customFormat="false" ht="15" hidden="false" customHeight="false" outlineLevel="0" collapsed="false">
      <c r="A35" s="3" t="n">
        <v>11</v>
      </c>
      <c r="B35" s="4" t="n">
        <f aca="false">B10</f>
        <v>6955</v>
      </c>
      <c r="C35" s="3" t="n">
        <f aca="false">IF(MOD(B35,100)=0,100,MOD(B35,100))</f>
        <v>55</v>
      </c>
      <c r="D35" s="3" t="str">
        <f aca="false">IF(COUNTIF(C$24:C34,C35)&gt;0,"повтор, пропуск","отобрано")</f>
        <v>отобрано</v>
      </c>
      <c r="E35" s="3" t="n">
        <f aca="false">IF(D35="отобрано",C35,"")</f>
        <v>55</v>
      </c>
    </row>
    <row r="37" customFormat="false" ht="15" hidden="false" customHeight="false" outlineLevel="0" collapsed="false">
      <c r="A37" s="1" t="s">
        <v>13</v>
      </c>
    </row>
    <row r="38" customFormat="false" ht="15" hidden="false" customHeight="false" outlineLevel="0" collapsed="false">
      <c r="A38" s="3" t="s">
        <v>14</v>
      </c>
      <c r="B38" s="3" t="s">
        <v>15</v>
      </c>
    </row>
    <row r="39" customFormat="false" ht="15" hidden="false" customHeight="false" outlineLevel="0" collapsed="false">
      <c r="A39" s="3" t="n">
        <v>1</v>
      </c>
      <c r="B39" s="3" t="n">
        <f aca="false">SMALL($E$25:$E$35,A39)</f>
        <v>11</v>
      </c>
    </row>
    <row r="40" customFormat="false" ht="15" hidden="false" customHeight="false" outlineLevel="0" collapsed="false">
      <c r="A40" s="3" t="n">
        <v>2</v>
      </c>
      <c r="B40" s="3" t="n">
        <f aca="false">SMALL($E$25:$E$35,A40)</f>
        <v>21</v>
      </c>
    </row>
    <row r="41" customFormat="false" ht="15" hidden="false" customHeight="false" outlineLevel="0" collapsed="false">
      <c r="A41" s="3" t="n">
        <v>3</v>
      </c>
      <c r="B41" s="3" t="n">
        <f aca="false">SMALL($E$25:$E$35,A41)</f>
        <v>23</v>
      </c>
    </row>
    <row r="42" customFormat="false" ht="15" hidden="false" customHeight="false" outlineLevel="0" collapsed="false">
      <c r="A42" s="3" t="n">
        <v>4</v>
      </c>
      <c r="B42" s="3" t="n">
        <f aca="false">SMALL($E$25:$E$35,A42)</f>
        <v>25</v>
      </c>
    </row>
    <row r="43" customFormat="false" ht="15" hidden="false" customHeight="false" outlineLevel="0" collapsed="false">
      <c r="A43" s="3" t="n">
        <v>5</v>
      </c>
      <c r="B43" s="3" t="n">
        <f aca="false">SMALL($E$25:$E$35,A43)</f>
        <v>35</v>
      </c>
    </row>
    <row r="44" customFormat="false" ht="15" hidden="false" customHeight="false" outlineLevel="0" collapsed="false">
      <c r="A44" s="3" t="n">
        <v>6</v>
      </c>
      <c r="B44" s="3" t="n">
        <f aca="false">SMALL($E$25:$E$35,A44)</f>
        <v>55</v>
      </c>
    </row>
    <row r="45" customFormat="false" ht="15" hidden="false" customHeight="false" outlineLevel="0" collapsed="false">
      <c r="A45" s="3" t="n">
        <v>7</v>
      </c>
      <c r="B45" s="3" t="n">
        <f aca="false">SMALL($E$25:$E$35,A45)</f>
        <v>64</v>
      </c>
    </row>
    <row r="46" customFormat="false" ht="15" hidden="false" customHeight="false" outlineLevel="0" collapsed="false">
      <c r="A46" s="3" t="n">
        <v>8</v>
      </c>
      <c r="B46" s="3" t="n">
        <f aca="false">SMALL($E$25:$E$35,A46)</f>
        <v>65</v>
      </c>
    </row>
    <row r="47" customFormat="false" ht="15" hidden="false" customHeight="false" outlineLevel="0" collapsed="false">
      <c r="A47" s="3" t="n">
        <v>9</v>
      </c>
      <c r="B47" s="3" t="n">
        <f aca="false">SMALL($E$25:$E$35,A47)</f>
        <v>72</v>
      </c>
    </row>
    <row r="48" customFormat="false" ht="15" hidden="false" customHeight="false" outlineLevel="0" collapsed="false">
      <c r="A48" s="3" t="n">
        <v>10</v>
      </c>
      <c r="B48" s="3" t="n">
        <f aca="false">SMALL($E$25:$E$35,A48)</f>
        <v>85</v>
      </c>
    </row>
    <row r="50" customFormat="false" ht="15" hidden="false" customHeight="false" outlineLevel="0" collapsed="false">
      <c r="A50" s="1" t="s">
        <v>16</v>
      </c>
      <c r="C50" s="1" t="n">
        <f aca="false">COUNT(B39:B48)</f>
        <v>10</v>
      </c>
    </row>
    <row r="51" customFormat="false" ht="15" hidden="false" customHeight="false" outlineLevel="0" collapsed="false">
      <c r="A51" s="1" t="s">
        <v>17</v>
      </c>
      <c r="C51" s="2" t="n">
        <f aca="false">C50/B4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2"/>
    <col collapsed="false" customWidth="true" hidden="false" outlineLevel="0" max="7" min="6" style="0" width="4"/>
    <col collapsed="false" customWidth="true" hidden="false" outlineLevel="0" max="8" min="8" style="0" width="6"/>
    <col collapsed="false" customWidth="true" hidden="false" outlineLevel="0" max="11" min="9" style="0" width="9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18</v>
      </c>
      <c r="H1" s="1" t="s">
        <v>19</v>
      </c>
    </row>
    <row r="2" customFormat="false" ht="15" hidden="false" customHeight="false" outlineLevel="0" collapsed="false">
      <c r="A2" s="1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</row>
    <row r="3" customFormat="false" ht="15" hidden="false" customHeight="false" outlineLevel="0" collapsed="false">
      <c r="A3" s="1" t="s">
        <v>27</v>
      </c>
      <c r="H3" s="3" t="n">
        <v>1</v>
      </c>
      <c r="I3" s="3" t="n">
        <v>1</v>
      </c>
      <c r="J3" s="3" t="n">
        <v>2</v>
      </c>
      <c r="K3" s="3" t="n">
        <v>3</v>
      </c>
      <c r="L3" s="3" t="str">
        <f aca="false">INDEX($B$6:$B$15,I3)&amp;", "&amp;INDEX($B$6:$B$15,J3)&amp;", "&amp;INDEX($B$6:$B$15,K3)</f>
        <v>11, 21, 23</v>
      </c>
      <c r="M3" s="5" t="n">
        <f aca="false">(INDEX($C$6:$C$15,I3)+INDEX($C$6:$C$15,J3)+INDEX($C$6:$C$15,K3))/3</f>
        <v>0</v>
      </c>
    </row>
    <row r="4" customFormat="false" ht="15" hidden="false" customHeight="false" outlineLevel="0" collapsed="false">
      <c r="H4" s="3" t="n">
        <v>2</v>
      </c>
      <c r="I4" s="3" t="n">
        <v>1</v>
      </c>
      <c r="J4" s="3" t="n">
        <v>2</v>
      </c>
      <c r="K4" s="3" t="n">
        <v>4</v>
      </c>
      <c r="L4" s="3" t="str">
        <f aca="false">INDEX($B$6:$B$15,I4)&amp;", "&amp;INDEX($B$6:$B$15,J4)&amp;", "&amp;INDEX($B$6:$B$15,K4)</f>
        <v>11, 21, 25</v>
      </c>
      <c r="M4" s="5" t="n">
        <f aca="false">(INDEX($C$6:$C$15,I4)+INDEX($C$6:$C$15,J4)+INDEX($C$6:$C$15,K4))/3</f>
        <v>0</v>
      </c>
    </row>
    <row r="5" customFormat="false" ht="26.85" hidden="false" customHeight="false" outlineLevel="0" collapsed="false">
      <c r="A5" s="3" t="s">
        <v>14</v>
      </c>
      <c r="B5" s="3" t="s">
        <v>15</v>
      </c>
      <c r="C5" s="3" t="s">
        <v>28</v>
      </c>
      <c r="H5" s="3" t="n">
        <v>3</v>
      </c>
      <c r="I5" s="3" t="n">
        <v>1</v>
      </c>
      <c r="J5" s="3" t="n">
        <v>2</v>
      </c>
      <c r="K5" s="3" t="n">
        <v>5</v>
      </c>
      <c r="L5" s="3" t="str">
        <f aca="false">INDEX($B$6:$B$15,I5)&amp;", "&amp;INDEX($B$6:$B$15,J5)&amp;", "&amp;INDEX($B$6:$B$15,K5)</f>
        <v>11, 21, 35</v>
      </c>
      <c r="M5" s="5" t="n">
        <f aca="false">(INDEX($C$6:$C$15,I5)+INDEX($C$6:$C$15,J5)+INDEX($C$6:$C$15,K5))/3</f>
        <v>0</v>
      </c>
    </row>
    <row r="6" customFormat="false" ht="15" hidden="false" customHeight="false" outlineLevel="0" collapsed="false">
      <c r="A6" s="3" t="n">
        <v>1</v>
      </c>
      <c r="B6" s="3" t="n">
        <f aca="false">'Задача 1'!B39</f>
        <v>11</v>
      </c>
      <c r="C6" s="3"/>
      <c r="D6" s="1" t="s">
        <v>29</v>
      </c>
      <c r="H6" s="3" t="n">
        <v>4</v>
      </c>
      <c r="I6" s="3" t="n">
        <v>1</v>
      </c>
      <c r="J6" s="3" t="n">
        <v>2</v>
      </c>
      <c r="K6" s="3" t="n">
        <v>6</v>
      </c>
      <c r="L6" s="3" t="str">
        <f aca="false">INDEX($B$6:$B$15,I6)&amp;", "&amp;INDEX($B$6:$B$15,J6)&amp;", "&amp;INDEX($B$6:$B$15,K6)</f>
        <v>11, 21, 55</v>
      </c>
      <c r="M6" s="5" t="n">
        <f aca="false">(INDEX($C$6:$C$15,I6)+INDEX($C$6:$C$15,J6)+INDEX($C$6:$C$15,K6))/3</f>
        <v>0</v>
      </c>
    </row>
    <row r="7" customFormat="false" ht="15" hidden="false" customHeight="false" outlineLevel="0" collapsed="false">
      <c r="A7" s="3" t="n">
        <v>2</v>
      </c>
      <c r="B7" s="3" t="n">
        <f aca="false">'Задача 1'!B40</f>
        <v>21</v>
      </c>
      <c r="C7" s="3"/>
      <c r="H7" s="3" t="n">
        <v>5</v>
      </c>
      <c r="I7" s="3" t="n">
        <v>1</v>
      </c>
      <c r="J7" s="3" t="n">
        <v>2</v>
      </c>
      <c r="K7" s="3" t="n">
        <v>7</v>
      </c>
      <c r="L7" s="3" t="str">
        <f aca="false">INDEX($B$6:$B$15,I7)&amp;", "&amp;INDEX($B$6:$B$15,J7)&amp;", "&amp;INDEX($B$6:$B$15,K7)</f>
        <v>11, 21, 64</v>
      </c>
      <c r="M7" s="5" t="n">
        <f aca="false">(INDEX($C$6:$C$15,I7)+INDEX($C$6:$C$15,J7)+INDEX($C$6:$C$15,K7))/3</f>
        <v>0</v>
      </c>
    </row>
    <row r="8" customFormat="false" ht="15" hidden="false" customHeight="false" outlineLevel="0" collapsed="false">
      <c r="A8" s="3" t="n">
        <v>3</v>
      </c>
      <c r="B8" s="3" t="n">
        <f aca="false">'Задача 1'!B41</f>
        <v>23</v>
      </c>
      <c r="C8" s="3"/>
      <c r="H8" s="3" t="n">
        <v>6</v>
      </c>
      <c r="I8" s="3" t="n">
        <v>1</v>
      </c>
      <c r="J8" s="3" t="n">
        <v>2</v>
      </c>
      <c r="K8" s="3" t="n">
        <v>8</v>
      </c>
      <c r="L8" s="3" t="str">
        <f aca="false">INDEX($B$6:$B$15,I8)&amp;", "&amp;INDEX($B$6:$B$15,J8)&amp;", "&amp;INDEX($B$6:$B$15,K8)</f>
        <v>11, 21, 65</v>
      </c>
      <c r="M8" s="5" t="n">
        <f aca="false">(INDEX($C$6:$C$15,I8)+INDEX($C$6:$C$15,J8)+INDEX($C$6:$C$15,K8))/3</f>
        <v>0</v>
      </c>
    </row>
    <row r="9" customFormat="false" ht="15" hidden="false" customHeight="false" outlineLevel="0" collapsed="false">
      <c r="A9" s="3" t="n">
        <v>4</v>
      </c>
      <c r="B9" s="3" t="n">
        <f aca="false">'Задача 1'!B42</f>
        <v>25</v>
      </c>
      <c r="C9" s="3"/>
      <c r="H9" s="3" t="n">
        <v>7</v>
      </c>
      <c r="I9" s="3" t="n">
        <v>1</v>
      </c>
      <c r="J9" s="3" t="n">
        <v>2</v>
      </c>
      <c r="K9" s="3" t="n">
        <v>9</v>
      </c>
      <c r="L9" s="3" t="str">
        <f aca="false">INDEX($B$6:$B$15,I9)&amp;", "&amp;INDEX($B$6:$B$15,J9)&amp;", "&amp;INDEX($B$6:$B$15,K9)</f>
        <v>11, 21, 72</v>
      </c>
      <c r="M9" s="5" t="n">
        <f aca="false">(INDEX($C$6:$C$15,I9)+INDEX($C$6:$C$15,J9)+INDEX($C$6:$C$15,K9))/3</f>
        <v>0</v>
      </c>
    </row>
    <row r="10" customFormat="false" ht="15" hidden="false" customHeight="false" outlineLevel="0" collapsed="false">
      <c r="A10" s="3" t="n">
        <v>5</v>
      </c>
      <c r="B10" s="3" t="n">
        <f aca="false">'Задача 1'!B43</f>
        <v>35</v>
      </c>
      <c r="C10" s="3"/>
      <c r="H10" s="3" t="n">
        <v>8</v>
      </c>
      <c r="I10" s="3" t="n">
        <v>1</v>
      </c>
      <c r="J10" s="3" t="n">
        <v>2</v>
      </c>
      <c r="K10" s="3" t="n">
        <v>10</v>
      </c>
      <c r="L10" s="3" t="str">
        <f aca="false">INDEX($B$6:$B$15,I10)&amp;", "&amp;INDEX($B$6:$B$15,J10)&amp;", "&amp;INDEX($B$6:$B$15,K10)</f>
        <v>11, 21, 85</v>
      </c>
      <c r="M10" s="5" t="n">
        <f aca="false">(INDEX($C$6:$C$15,I10)+INDEX($C$6:$C$15,J10)+INDEX($C$6:$C$15,K10))/3</f>
        <v>0</v>
      </c>
    </row>
    <row r="11" customFormat="false" ht="15" hidden="false" customHeight="false" outlineLevel="0" collapsed="false">
      <c r="A11" s="3" t="n">
        <v>6</v>
      </c>
      <c r="B11" s="3" t="n">
        <f aca="false">'Задача 1'!B44</f>
        <v>55</v>
      </c>
      <c r="C11" s="3"/>
      <c r="H11" s="3" t="n">
        <v>9</v>
      </c>
      <c r="I11" s="3" t="n">
        <v>1</v>
      </c>
      <c r="J11" s="3" t="n">
        <v>3</v>
      </c>
      <c r="K11" s="3" t="n">
        <v>4</v>
      </c>
      <c r="L11" s="3" t="str">
        <f aca="false">INDEX($B$6:$B$15,I11)&amp;", "&amp;INDEX($B$6:$B$15,J11)&amp;", "&amp;INDEX($B$6:$B$15,K11)</f>
        <v>11, 23, 25</v>
      </c>
      <c r="M11" s="5" t="n">
        <f aca="false">(INDEX($C$6:$C$15,I11)+INDEX($C$6:$C$15,J11)+INDEX($C$6:$C$15,K11))/3</f>
        <v>0</v>
      </c>
    </row>
    <row r="12" customFormat="false" ht="15" hidden="false" customHeight="false" outlineLevel="0" collapsed="false">
      <c r="A12" s="3" t="n">
        <v>7</v>
      </c>
      <c r="B12" s="3" t="n">
        <f aca="false">'Задача 1'!B45</f>
        <v>64</v>
      </c>
      <c r="C12" s="3"/>
      <c r="H12" s="3" t="n">
        <v>10</v>
      </c>
      <c r="I12" s="3" t="n">
        <v>1</v>
      </c>
      <c r="J12" s="3" t="n">
        <v>3</v>
      </c>
      <c r="K12" s="3" t="n">
        <v>5</v>
      </c>
      <c r="L12" s="3" t="str">
        <f aca="false">INDEX($B$6:$B$15,I12)&amp;", "&amp;INDEX($B$6:$B$15,J12)&amp;", "&amp;INDEX($B$6:$B$15,K12)</f>
        <v>11, 23, 35</v>
      </c>
      <c r="M12" s="5" t="n">
        <f aca="false">(INDEX($C$6:$C$15,I12)+INDEX($C$6:$C$15,J12)+INDEX($C$6:$C$15,K12))/3</f>
        <v>0</v>
      </c>
    </row>
    <row r="13" customFormat="false" ht="15" hidden="false" customHeight="false" outlineLevel="0" collapsed="false">
      <c r="A13" s="3" t="n">
        <v>8</v>
      </c>
      <c r="B13" s="3" t="n">
        <f aca="false">'Задача 1'!B46</f>
        <v>65</v>
      </c>
      <c r="C13" s="3"/>
      <c r="H13" s="3" t="n">
        <v>11</v>
      </c>
      <c r="I13" s="3" t="n">
        <v>1</v>
      </c>
      <c r="J13" s="3" t="n">
        <v>3</v>
      </c>
      <c r="K13" s="3" t="n">
        <v>6</v>
      </c>
      <c r="L13" s="3" t="str">
        <f aca="false">INDEX($B$6:$B$15,I13)&amp;", "&amp;INDEX($B$6:$B$15,J13)&amp;", "&amp;INDEX($B$6:$B$15,K13)</f>
        <v>11, 23, 55</v>
      </c>
      <c r="M13" s="5" t="n">
        <f aca="false">(INDEX($C$6:$C$15,I13)+INDEX($C$6:$C$15,J13)+INDEX($C$6:$C$15,K13))/3</f>
        <v>0</v>
      </c>
    </row>
    <row r="14" customFormat="false" ht="15" hidden="false" customHeight="false" outlineLevel="0" collapsed="false">
      <c r="A14" s="3" t="n">
        <v>9</v>
      </c>
      <c r="B14" s="3" t="n">
        <f aca="false">'Задача 1'!B47</f>
        <v>72</v>
      </c>
      <c r="C14" s="3"/>
      <c r="H14" s="3" t="n">
        <v>12</v>
      </c>
      <c r="I14" s="3" t="n">
        <v>1</v>
      </c>
      <c r="J14" s="3" t="n">
        <v>3</v>
      </c>
      <c r="K14" s="3" t="n">
        <v>7</v>
      </c>
      <c r="L14" s="3" t="str">
        <f aca="false">INDEX($B$6:$B$15,I14)&amp;", "&amp;INDEX($B$6:$B$15,J14)&amp;", "&amp;INDEX($B$6:$B$15,K14)</f>
        <v>11, 23, 64</v>
      </c>
      <c r="M14" s="5" t="n">
        <f aca="false">(INDEX($C$6:$C$15,I14)+INDEX($C$6:$C$15,J14)+INDEX($C$6:$C$15,K14))/3</f>
        <v>0</v>
      </c>
    </row>
    <row r="15" customFormat="false" ht="15" hidden="false" customHeight="false" outlineLevel="0" collapsed="false">
      <c r="A15" s="3" t="n">
        <v>10</v>
      </c>
      <c r="B15" s="3" t="n">
        <f aca="false">'Задача 1'!B48</f>
        <v>85</v>
      </c>
      <c r="C15" s="3"/>
      <c r="H15" s="3" t="n">
        <v>13</v>
      </c>
      <c r="I15" s="3" t="n">
        <v>1</v>
      </c>
      <c r="J15" s="3" t="n">
        <v>3</v>
      </c>
      <c r="K15" s="3" t="n">
        <v>8</v>
      </c>
      <c r="L15" s="3" t="str">
        <f aca="false">INDEX($B$6:$B$15,I15)&amp;", "&amp;INDEX($B$6:$B$15,J15)&amp;", "&amp;INDEX($B$6:$B$15,K15)</f>
        <v>11, 23, 65</v>
      </c>
      <c r="M15" s="5" t="n">
        <f aca="false">(INDEX($C$6:$C$15,I15)+INDEX($C$6:$C$15,J15)+INDEX($C$6:$C$15,K15))/3</f>
        <v>0</v>
      </c>
    </row>
    <row r="16" customFormat="false" ht="15" hidden="false" customHeight="false" outlineLevel="0" collapsed="false">
      <c r="B16" s="3" t="s">
        <v>30</v>
      </c>
      <c r="C16" s="3" t="n">
        <f aca="false">SUM(C6:C15)</f>
        <v>0</v>
      </c>
      <c r="H16" s="3" t="n">
        <v>14</v>
      </c>
      <c r="I16" s="3" t="n">
        <v>1</v>
      </c>
      <c r="J16" s="3" t="n">
        <v>3</v>
      </c>
      <c r="K16" s="3" t="n">
        <v>9</v>
      </c>
      <c r="L16" s="3" t="str">
        <f aca="false">INDEX($B$6:$B$15,I16)&amp;", "&amp;INDEX($B$6:$B$15,J16)&amp;", "&amp;INDEX($B$6:$B$15,K16)</f>
        <v>11, 23, 72</v>
      </c>
      <c r="M16" s="5" t="n">
        <f aca="false">(INDEX($C$6:$C$15,I16)+INDEX($C$6:$C$15,J16)+INDEX($C$6:$C$15,K16))/3</f>
        <v>0</v>
      </c>
    </row>
    <row r="17" customFormat="false" ht="15" hidden="false" customHeight="false" outlineLevel="0" collapsed="false">
      <c r="B17" s="3" t="s">
        <v>31</v>
      </c>
      <c r="C17" s="5" t="n">
        <f aca="false">C16/10</f>
        <v>0</v>
      </c>
      <c r="H17" s="3" t="n">
        <v>15</v>
      </c>
      <c r="I17" s="3" t="n">
        <v>1</v>
      </c>
      <c r="J17" s="3" t="n">
        <v>3</v>
      </c>
      <c r="K17" s="3" t="n">
        <v>10</v>
      </c>
      <c r="L17" s="3" t="str">
        <f aca="false">INDEX($B$6:$B$15,I17)&amp;", "&amp;INDEX($B$6:$B$15,J17)&amp;", "&amp;INDEX($B$6:$B$15,K17)</f>
        <v>11, 23, 85</v>
      </c>
      <c r="M17" s="5" t="n">
        <f aca="false">(INDEX($C$6:$C$15,I17)+INDEX($C$6:$C$15,J17)+INDEX($C$6:$C$15,K17))/3</f>
        <v>0</v>
      </c>
    </row>
    <row r="18" customFormat="false" ht="15" hidden="false" customHeight="false" outlineLevel="0" collapsed="false">
      <c r="H18" s="3" t="n">
        <v>16</v>
      </c>
      <c r="I18" s="3" t="n">
        <v>1</v>
      </c>
      <c r="J18" s="3" t="n">
        <v>4</v>
      </c>
      <c r="K18" s="3" t="n">
        <v>5</v>
      </c>
      <c r="L18" s="3" t="str">
        <f aca="false">INDEX($B$6:$B$15,I18)&amp;", "&amp;INDEX($B$6:$B$15,J18)&amp;", "&amp;INDEX($B$6:$B$15,K18)</f>
        <v>11, 25, 35</v>
      </c>
      <c r="M18" s="5" t="n">
        <f aca="false">(INDEX($C$6:$C$15,I18)+INDEX($C$6:$C$15,J18)+INDEX($C$6:$C$15,K18))/3</f>
        <v>0</v>
      </c>
    </row>
    <row r="19" customFormat="false" ht="15" hidden="false" customHeight="false" outlineLevel="0" collapsed="false">
      <c r="A19" s="1" t="s">
        <v>32</v>
      </c>
      <c r="E19" s="1" t="n">
        <f aca="false">COMBIN(10,3)</f>
        <v>120</v>
      </c>
      <c r="H19" s="3" t="n">
        <v>17</v>
      </c>
      <c r="I19" s="3" t="n">
        <v>1</v>
      </c>
      <c r="J19" s="3" t="n">
        <v>4</v>
      </c>
      <c r="K19" s="3" t="n">
        <v>6</v>
      </c>
      <c r="L19" s="3" t="str">
        <f aca="false">INDEX($B$6:$B$15,I19)&amp;", "&amp;INDEX($B$6:$B$15,J19)&amp;", "&amp;INDEX($B$6:$B$15,K19)</f>
        <v>11, 25, 55</v>
      </c>
      <c r="M19" s="5" t="n">
        <f aca="false">(INDEX($C$6:$C$15,I19)+INDEX($C$6:$C$15,J19)+INDEX($C$6:$C$15,K19))/3</f>
        <v>0</v>
      </c>
    </row>
    <row r="20" customFormat="false" ht="15" hidden="false" customHeight="false" outlineLevel="0" collapsed="false">
      <c r="A20" s="1" t="s">
        <v>33</v>
      </c>
      <c r="E20" s="1" t="n">
        <f aca="false">FACT(10)/(FACT(3)*FACT(7))</f>
        <v>120</v>
      </c>
      <c r="H20" s="3" t="n">
        <v>18</v>
      </c>
      <c r="I20" s="3" t="n">
        <v>1</v>
      </c>
      <c r="J20" s="3" t="n">
        <v>4</v>
      </c>
      <c r="K20" s="3" t="n">
        <v>7</v>
      </c>
      <c r="L20" s="3" t="str">
        <f aca="false">INDEX($B$6:$B$15,I20)&amp;", "&amp;INDEX($B$6:$B$15,J20)&amp;", "&amp;INDEX($B$6:$B$15,K20)</f>
        <v>11, 25, 64</v>
      </c>
      <c r="M20" s="5" t="n">
        <f aca="false">(INDEX($C$6:$C$15,I20)+INDEX($C$6:$C$15,J20)+INDEX($C$6:$C$15,K20))/3</f>
        <v>0</v>
      </c>
    </row>
    <row r="21" customFormat="false" ht="15" hidden="false" customHeight="false" outlineLevel="0" collapsed="false">
      <c r="H21" s="3" t="n">
        <v>19</v>
      </c>
      <c r="I21" s="3" t="n">
        <v>1</v>
      </c>
      <c r="J21" s="3" t="n">
        <v>4</v>
      </c>
      <c r="K21" s="3" t="n">
        <v>8</v>
      </c>
      <c r="L21" s="3" t="str">
        <f aca="false">INDEX($B$6:$B$15,I21)&amp;", "&amp;INDEX($B$6:$B$15,J21)&amp;", "&amp;INDEX($B$6:$B$15,K21)</f>
        <v>11, 25, 65</v>
      </c>
      <c r="M21" s="5" t="n">
        <f aca="false">(INDEX($C$6:$C$15,I21)+INDEX($C$6:$C$15,J21)+INDEX($C$6:$C$15,K21))/3</f>
        <v>0</v>
      </c>
    </row>
    <row r="22" customFormat="false" ht="15" hidden="false" customHeight="false" outlineLevel="0" collapsed="false">
      <c r="A22" s="1" t="s">
        <v>34</v>
      </c>
      <c r="H22" s="3" t="n">
        <v>20</v>
      </c>
      <c r="I22" s="3" t="n">
        <v>1</v>
      </c>
      <c r="J22" s="3" t="n">
        <v>4</v>
      </c>
      <c r="K22" s="3" t="n">
        <v>9</v>
      </c>
      <c r="L22" s="3" t="str">
        <f aca="false">INDEX($B$6:$B$15,I22)&amp;", "&amp;INDEX($B$6:$B$15,J22)&amp;", "&amp;INDEX($B$6:$B$15,K22)</f>
        <v>11, 25, 72</v>
      </c>
      <c r="M22" s="5" t="n">
        <f aca="false">(INDEX($C$6:$C$15,I22)+INDEX($C$6:$C$15,J22)+INDEX($C$6:$C$15,K22))/3</f>
        <v>0</v>
      </c>
    </row>
    <row r="23" customFormat="false" ht="26.85" hidden="false" customHeight="false" outlineLevel="0" collapsed="false">
      <c r="A23" s="3" t="s">
        <v>9</v>
      </c>
      <c r="B23" s="3" t="s">
        <v>35</v>
      </c>
      <c r="C23" s="3" t="s">
        <v>14</v>
      </c>
      <c r="D23" s="3" t="s">
        <v>15</v>
      </c>
      <c r="E23" s="3" t="s">
        <v>36</v>
      </c>
      <c r="H23" s="3" t="n">
        <v>21</v>
      </c>
      <c r="I23" s="3" t="n">
        <v>1</v>
      </c>
      <c r="J23" s="3" t="n">
        <v>4</v>
      </c>
      <c r="K23" s="3" t="n">
        <v>10</v>
      </c>
      <c r="L23" s="3" t="str">
        <f aca="false">INDEX($B$6:$B$15,I23)&amp;", "&amp;INDEX($B$6:$B$15,J23)&amp;", "&amp;INDEX($B$6:$B$15,K23)</f>
        <v>11, 25, 85</v>
      </c>
      <c r="M23" s="5" t="n">
        <f aca="false">(INDEX($C$6:$C$15,I23)+INDEX($C$6:$C$15,J23)+INDEX($C$6:$C$15,K23))/3</f>
        <v>0</v>
      </c>
    </row>
    <row r="24" customFormat="false" ht="15" hidden="false" customHeight="false" outlineLevel="0" collapsed="false">
      <c r="A24" s="4" t="n">
        <f aca="false">'Задача 1'!B11</f>
        <v>4877</v>
      </c>
      <c r="B24" s="3" t="n">
        <f aca="false">MOD(A24,10)</f>
        <v>7</v>
      </c>
      <c r="C24" s="3" t="n">
        <f aca="false">IF(B24=0,10,B24)</f>
        <v>7</v>
      </c>
      <c r="D24" s="3" t="n">
        <f aca="false">INDEX($B$6:$B$15,C24)</f>
        <v>64</v>
      </c>
      <c r="E24" s="3" t="n">
        <f aca="false">INDEX($C$6:$C$15,C24)</f>
        <v>0</v>
      </c>
      <c r="H24" s="3" t="n">
        <v>22</v>
      </c>
      <c r="I24" s="3" t="n">
        <v>1</v>
      </c>
      <c r="J24" s="3" t="n">
        <v>5</v>
      </c>
      <c r="K24" s="3" t="n">
        <v>6</v>
      </c>
      <c r="L24" s="3" t="str">
        <f aca="false">INDEX($B$6:$B$15,I24)&amp;", "&amp;INDEX($B$6:$B$15,J24)&amp;", "&amp;INDEX($B$6:$B$15,K24)</f>
        <v>11, 35, 55</v>
      </c>
      <c r="M24" s="5" t="n">
        <f aca="false">(INDEX($C$6:$C$15,I24)+INDEX($C$6:$C$15,J24)+INDEX($C$6:$C$15,K24))/3</f>
        <v>0</v>
      </c>
    </row>
    <row r="25" customFormat="false" ht="15" hidden="false" customHeight="false" outlineLevel="0" collapsed="false">
      <c r="A25" s="4" t="n">
        <f aca="false">'Задача 1'!B12</f>
        <v>4591</v>
      </c>
      <c r="B25" s="3" t="n">
        <f aca="false">MOD(A25,10)</f>
        <v>1</v>
      </c>
      <c r="C25" s="3" t="n">
        <f aca="false">IF(B25=0,10,B25)</f>
        <v>1</v>
      </c>
      <c r="D25" s="3" t="n">
        <f aca="false">INDEX($B$6:$B$15,C25)</f>
        <v>11</v>
      </c>
      <c r="E25" s="3" t="n">
        <f aca="false">INDEX($C$6:$C$15,C25)</f>
        <v>0</v>
      </c>
      <c r="H25" s="3" t="n">
        <v>23</v>
      </c>
      <c r="I25" s="3" t="n">
        <v>1</v>
      </c>
      <c r="J25" s="3" t="n">
        <v>5</v>
      </c>
      <c r="K25" s="3" t="n">
        <v>7</v>
      </c>
      <c r="L25" s="3" t="str">
        <f aca="false">INDEX($B$6:$B$15,I25)&amp;", "&amp;INDEX($B$6:$B$15,J25)&amp;", "&amp;INDEX($B$6:$B$15,K25)</f>
        <v>11, 35, 64</v>
      </c>
      <c r="M25" s="5" t="n">
        <f aca="false">(INDEX($C$6:$C$15,I25)+INDEX($C$6:$C$15,J25)+INDEX($C$6:$C$15,K25))/3</f>
        <v>0</v>
      </c>
    </row>
    <row r="26" customFormat="false" ht="15" hidden="false" customHeight="false" outlineLevel="0" collapsed="false">
      <c r="A26" s="4" t="n">
        <f aca="false">'Задача 1'!B13</f>
        <v>9378</v>
      </c>
      <c r="B26" s="3" t="n">
        <f aca="false">MOD(A26,10)</f>
        <v>8</v>
      </c>
      <c r="C26" s="3" t="n">
        <f aca="false">IF(B26=0,10,B26)</f>
        <v>8</v>
      </c>
      <c r="D26" s="3" t="n">
        <f aca="false">INDEX($B$6:$B$15,C26)</f>
        <v>65</v>
      </c>
      <c r="E26" s="3" t="n">
        <f aca="false">INDEX($C$6:$C$15,C26)</f>
        <v>0</v>
      </c>
      <c r="H26" s="3" t="n">
        <v>24</v>
      </c>
      <c r="I26" s="3" t="n">
        <v>1</v>
      </c>
      <c r="J26" s="3" t="n">
        <v>5</v>
      </c>
      <c r="K26" s="3" t="n">
        <v>8</v>
      </c>
      <c r="L26" s="3" t="str">
        <f aca="false">INDEX($B$6:$B$15,I26)&amp;", "&amp;INDEX($B$6:$B$15,J26)&amp;", "&amp;INDEX($B$6:$B$15,K26)</f>
        <v>11, 35, 65</v>
      </c>
      <c r="M26" s="5" t="n">
        <f aca="false">(INDEX($C$6:$C$15,I26)+INDEX($C$6:$C$15,J26)+INDEX($C$6:$C$15,K26))/3</f>
        <v>0</v>
      </c>
    </row>
    <row r="27" customFormat="false" ht="15" hidden="false" customHeight="false" outlineLevel="0" collapsed="false">
      <c r="D27" s="3" t="s">
        <v>30</v>
      </c>
      <c r="E27" s="3" t="n">
        <f aca="false">SUM(E24:E26)</f>
        <v>0</v>
      </c>
      <c r="H27" s="3" t="n">
        <v>25</v>
      </c>
      <c r="I27" s="3" t="n">
        <v>1</v>
      </c>
      <c r="J27" s="3" t="n">
        <v>5</v>
      </c>
      <c r="K27" s="3" t="n">
        <v>9</v>
      </c>
      <c r="L27" s="3" t="str">
        <f aca="false">INDEX($B$6:$B$15,I27)&amp;", "&amp;INDEX($B$6:$B$15,J27)&amp;", "&amp;INDEX($B$6:$B$15,K27)</f>
        <v>11, 35, 72</v>
      </c>
      <c r="M27" s="5" t="n">
        <f aca="false">(INDEX($C$6:$C$15,I27)+INDEX($C$6:$C$15,J27)+INDEX($C$6:$C$15,K27))/3</f>
        <v>0</v>
      </c>
    </row>
    <row r="28" customFormat="false" ht="15" hidden="false" customHeight="false" outlineLevel="0" collapsed="false">
      <c r="D28" s="3" t="s">
        <v>37</v>
      </c>
      <c r="E28" s="5" t="n">
        <f aca="false">E27/3</f>
        <v>0</v>
      </c>
      <c r="H28" s="3" t="n">
        <v>26</v>
      </c>
      <c r="I28" s="3" t="n">
        <v>1</v>
      </c>
      <c r="J28" s="3" t="n">
        <v>5</v>
      </c>
      <c r="K28" s="3" t="n">
        <v>10</v>
      </c>
      <c r="L28" s="3" t="str">
        <f aca="false">INDEX($B$6:$B$15,I28)&amp;", "&amp;INDEX($B$6:$B$15,J28)&amp;", "&amp;INDEX($B$6:$B$15,K28)</f>
        <v>11, 35, 85</v>
      </c>
      <c r="M28" s="5" t="n">
        <f aca="false">(INDEX($C$6:$C$15,I28)+INDEX($C$6:$C$15,J28)+INDEX($C$6:$C$15,K28))/3</f>
        <v>0</v>
      </c>
    </row>
    <row r="29" customFormat="false" ht="15" hidden="false" customHeight="false" outlineLevel="0" collapsed="false">
      <c r="D29" s="3" t="s">
        <v>38</v>
      </c>
      <c r="E29" s="5" t="n">
        <f aca="false">E28-C17</f>
        <v>0</v>
      </c>
      <c r="H29" s="3" t="n">
        <v>27</v>
      </c>
      <c r="I29" s="3" t="n">
        <v>1</v>
      </c>
      <c r="J29" s="3" t="n">
        <v>6</v>
      </c>
      <c r="K29" s="3" t="n">
        <v>7</v>
      </c>
      <c r="L29" s="3" t="str">
        <f aca="false">INDEX($B$6:$B$15,I29)&amp;", "&amp;INDEX($B$6:$B$15,J29)&amp;", "&amp;INDEX($B$6:$B$15,K29)</f>
        <v>11, 55, 64</v>
      </c>
      <c r="M29" s="5" t="n">
        <f aca="false">(INDEX($C$6:$C$15,I29)+INDEX($C$6:$C$15,J29)+INDEX($C$6:$C$15,K29))/3</f>
        <v>0</v>
      </c>
    </row>
    <row r="30" customFormat="false" ht="15" hidden="false" customHeight="false" outlineLevel="0" collapsed="false">
      <c r="H30" s="3" t="n">
        <v>28</v>
      </c>
      <c r="I30" s="3" t="n">
        <v>1</v>
      </c>
      <c r="J30" s="3" t="n">
        <v>6</v>
      </c>
      <c r="K30" s="3" t="n">
        <v>8</v>
      </c>
      <c r="L30" s="3" t="str">
        <f aca="false">INDEX($B$6:$B$15,I30)&amp;", "&amp;INDEX($B$6:$B$15,J30)&amp;", "&amp;INDEX($B$6:$B$15,K30)</f>
        <v>11, 55, 65</v>
      </c>
      <c r="M30" s="5" t="n">
        <f aca="false">(INDEX($C$6:$C$15,I30)+INDEX($C$6:$C$15,J30)+INDEX($C$6:$C$15,K30))/3</f>
        <v>0</v>
      </c>
    </row>
    <row r="31" customFormat="false" ht="15" hidden="false" customHeight="false" outlineLevel="0" collapsed="false">
      <c r="A31" s="1" t="s">
        <v>39</v>
      </c>
      <c r="H31" s="3" t="n">
        <v>29</v>
      </c>
      <c r="I31" s="3" t="n">
        <v>1</v>
      </c>
      <c r="J31" s="3" t="n">
        <v>6</v>
      </c>
      <c r="K31" s="3" t="n">
        <v>9</v>
      </c>
      <c r="L31" s="3" t="str">
        <f aca="false">INDEX($B$6:$B$15,I31)&amp;", "&amp;INDEX($B$6:$B$15,J31)&amp;", "&amp;INDEX($B$6:$B$15,K31)</f>
        <v>11, 55, 72</v>
      </c>
      <c r="M31" s="5" t="n">
        <f aca="false">(INDEX($C$6:$C$15,I31)+INDEX($C$6:$C$15,J31)+INDEX($C$6:$C$15,K31))/3</f>
        <v>0</v>
      </c>
    </row>
    <row r="32" customFormat="false" ht="15" hidden="false" customHeight="false" outlineLevel="0" collapsed="false">
      <c r="A32" s="1" t="s">
        <v>40</v>
      </c>
      <c r="E32" s="6" t="n">
        <f aca="false">AVERAGE(M3:M122)</f>
        <v>0</v>
      </c>
      <c r="H32" s="3" t="n">
        <v>30</v>
      </c>
      <c r="I32" s="3" t="n">
        <v>1</v>
      </c>
      <c r="J32" s="3" t="n">
        <v>6</v>
      </c>
      <c r="K32" s="3" t="n">
        <v>10</v>
      </c>
      <c r="L32" s="3" t="str">
        <f aca="false">INDEX($B$6:$B$15,I32)&amp;", "&amp;INDEX($B$6:$B$15,J32)&amp;", "&amp;INDEX($B$6:$B$15,K32)</f>
        <v>11, 55, 85</v>
      </c>
      <c r="M32" s="5" t="n">
        <f aca="false">(INDEX($C$6:$C$15,I32)+INDEX($C$6:$C$15,J32)+INDEX($C$6:$C$15,K32))/3</f>
        <v>0</v>
      </c>
    </row>
    <row r="33" customFormat="false" ht="15" hidden="false" customHeight="false" outlineLevel="0" collapsed="false">
      <c r="A33" s="1" t="s">
        <v>41</v>
      </c>
      <c r="E33" s="6" t="n">
        <f aca="false">C17</f>
        <v>0</v>
      </c>
      <c r="H33" s="3" t="n">
        <v>31</v>
      </c>
      <c r="I33" s="3" t="n">
        <v>1</v>
      </c>
      <c r="J33" s="3" t="n">
        <v>7</v>
      </c>
      <c r="K33" s="3" t="n">
        <v>8</v>
      </c>
      <c r="L33" s="3" t="str">
        <f aca="false">INDEX($B$6:$B$15,I33)&amp;", "&amp;INDEX($B$6:$B$15,J33)&amp;", "&amp;INDEX($B$6:$B$15,K33)</f>
        <v>11, 64, 65</v>
      </c>
      <c r="M33" s="5" t="n">
        <f aca="false">(INDEX($C$6:$C$15,I33)+INDEX($C$6:$C$15,J33)+INDEX($C$6:$C$15,K33))/3</f>
        <v>0</v>
      </c>
    </row>
    <row r="34" customFormat="false" ht="15" hidden="false" customHeight="false" outlineLevel="0" collapsed="false">
      <c r="A34" s="1" t="s">
        <v>42</v>
      </c>
      <c r="E34" s="1" t="n">
        <f aca="false">COMBIN(9,2)</f>
        <v>36</v>
      </c>
      <c r="H34" s="3" t="n">
        <v>32</v>
      </c>
      <c r="I34" s="3" t="n">
        <v>1</v>
      </c>
      <c r="J34" s="3" t="n">
        <v>7</v>
      </c>
      <c r="K34" s="3" t="n">
        <v>9</v>
      </c>
      <c r="L34" s="3" t="str">
        <f aca="false">INDEX($B$6:$B$15,I34)&amp;", "&amp;INDEX($B$6:$B$15,J34)&amp;", "&amp;INDEX($B$6:$B$15,K34)</f>
        <v>11, 64, 72</v>
      </c>
      <c r="M34" s="5" t="n">
        <f aca="false">(INDEX($C$6:$C$15,I34)+INDEX($C$6:$C$15,J34)+INDEX($C$6:$C$15,K34))/3</f>
        <v>0</v>
      </c>
    </row>
    <row r="35" customFormat="false" ht="15" hidden="false" customHeight="false" outlineLevel="0" collapsed="false">
      <c r="A35" s="1" t="s">
        <v>43</v>
      </c>
      <c r="C35" s="6" t="n">
        <f aca="false">MIN(M3:M122)</f>
        <v>0</v>
      </c>
      <c r="D35" s="7" t="s">
        <v>44</v>
      </c>
      <c r="E35" s="6" t="n">
        <f aca="false">MAX(M3:M122)</f>
        <v>0</v>
      </c>
      <c r="H35" s="3" t="n">
        <v>33</v>
      </c>
      <c r="I35" s="3" t="n">
        <v>1</v>
      </c>
      <c r="J35" s="3" t="n">
        <v>7</v>
      </c>
      <c r="K35" s="3" t="n">
        <v>10</v>
      </c>
      <c r="L35" s="3" t="str">
        <f aca="false">INDEX($B$6:$B$15,I35)&amp;", "&amp;INDEX($B$6:$B$15,J35)&amp;", "&amp;INDEX($B$6:$B$15,K35)</f>
        <v>11, 64, 85</v>
      </c>
      <c r="M35" s="5" t="n">
        <f aca="false">(INDEX($C$6:$C$15,I35)+INDEX($C$6:$C$15,J35)+INDEX($C$6:$C$15,K35))/3</f>
        <v>0</v>
      </c>
    </row>
    <row r="36" customFormat="false" ht="15" hidden="false" customHeight="false" outlineLevel="0" collapsed="false">
      <c r="A36" s="1" t="s">
        <v>45</v>
      </c>
      <c r="B36" s="1" t="str">
        <f aca="false">IF(COUNT(C6:C15)&lt;10,"нужно вписать значения из приложения 1",IF(ABS(E32-E33)&lt;0.000001,"M(хср) = Хср, значит выборочная средняя - несмещенная оценка","не совпадает"))</f>
        <v>нужно вписать значения из приложения 1</v>
      </c>
      <c r="H36" s="3" t="n">
        <v>34</v>
      </c>
      <c r="I36" s="3" t="n">
        <v>1</v>
      </c>
      <c r="J36" s="3" t="n">
        <v>8</v>
      </c>
      <c r="K36" s="3" t="n">
        <v>9</v>
      </c>
      <c r="L36" s="3" t="str">
        <f aca="false">INDEX($B$6:$B$15,I36)&amp;", "&amp;INDEX($B$6:$B$15,J36)&amp;", "&amp;INDEX($B$6:$B$15,K36)</f>
        <v>11, 65, 72</v>
      </c>
      <c r="M36" s="5" t="n">
        <f aca="false">(INDEX($C$6:$C$15,I36)+INDEX($C$6:$C$15,J36)+INDEX($C$6:$C$15,K36))/3</f>
        <v>0</v>
      </c>
    </row>
    <row r="37" customFormat="false" ht="15" hidden="false" customHeight="false" outlineLevel="0" collapsed="false">
      <c r="H37" s="3" t="n">
        <v>35</v>
      </c>
      <c r="I37" s="3" t="n">
        <v>1</v>
      </c>
      <c r="J37" s="3" t="n">
        <v>8</v>
      </c>
      <c r="K37" s="3" t="n">
        <v>10</v>
      </c>
      <c r="L37" s="3" t="str">
        <f aca="false">INDEX($B$6:$B$15,I37)&amp;", "&amp;INDEX($B$6:$B$15,J37)&amp;", "&amp;INDEX($B$6:$B$15,K37)</f>
        <v>11, 65, 85</v>
      </c>
      <c r="M37" s="5" t="n">
        <f aca="false">(INDEX($C$6:$C$15,I37)+INDEX($C$6:$C$15,J37)+INDEX($C$6:$C$15,K37))/3</f>
        <v>0</v>
      </c>
    </row>
    <row r="38" customFormat="false" ht="15" hidden="false" customHeight="false" outlineLevel="0" collapsed="false">
      <c r="H38" s="3" t="n">
        <v>36</v>
      </c>
      <c r="I38" s="3" t="n">
        <v>1</v>
      </c>
      <c r="J38" s="3" t="n">
        <v>9</v>
      </c>
      <c r="K38" s="3" t="n">
        <v>10</v>
      </c>
      <c r="L38" s="3" t="str">
        <f aca="false">INDEX($B$6:$B$15,I38)&amp;", "&amp;INDEX($B$6:$B$15,J38)&amp;", "&amp;INDEX($B$6:$B$15,K38)</f>
        <v>11, 72, 85</v>
      </c>
      <c r="M38" s="5" t="n">
        <f aca="false">(INDEX($C$6:$C$15,I38)+INDEX($C$6:$C$15,J38)+INDEX($C$6:$C$15,K38))/3</f>
        <v>0</v>
      </c>
    </row>
    <row r="39" customFormat="false" ht="15" hidden="false" customHeight="false" outlineLevel="0" collapsed="false">
      <c r="H39" s="3" t="n">
        <v>37</v>
      </c>
      <c r="I39" s="3" t="n">
        <v>2</v>
      </c>
      <c r="J39" s="3" t="n">
        <v>3</v>
      </c>
      <c r="K39" s="3" t="n">
        <v>4</v>
      </c>
      <c r="L39" s="3" t="str">
        <f aca="false">INDEX($B$6:$B$15,I39)&amp;", "&amp;INDEX($B$6:$B$15,J39)&amp;", "&amp;INDEX($B$6:$B$15,K39)</f>
        <v>21, 23, 25</v>
      </c>
      <c r="M39" s="5" t="n">
        <f aca="false">(INDEX($C$6:$C$15,I39)+INDEX($C$6:$C$15,J39)+INDEX($C$6:$C$15,K39))/3</f>
        <v>0</v>
      </c>
    </row>
    <row r="40" customFormat="false" ht="15" hidden="false" customHeight="false" outlineLevel="0" collapsed="false">
      <c r="H40" s="3" t="n">
        <v>38</v>
      </c>
      <c r="I40" s="3" t="n">
        <v>2</v>
      </c>
      <c r="J40" s="3" t="n">
        <v>3</v>
      </c>
      <c r="K40" s="3" t="n">
        <v>5</v>
      </c>
      <c r="L40" s="3" t="str">
        <f aca="false">INDEX($B$6:$B$15,I40)&amp;", "&amp;INDEX($B$6:$B$15,J40)&amp;", "&amp;INDEX($B$6:$B$15,K40)</f>
        <v>21, 23, 35</v>
      </c>
      <c r="M40" s="5" t="n">
        <f aca="false">(INDEX($C$6:$C$15,I40)+INDEX($C$6:$C$15,J40)+INDEX($C$6:$C$15,K40))/3</f>
        <v>0</v>
      </c>
    </row>
    <row r="41" customFormat="false" ht="15" hidden="false" customHeight="false" outlineLevel="0" collapsed="false">
      <c r="H41" s="3" t="n">
        <v>39</v>
      </c>
      <c r="I41" s="3" t="n">
        <v>2</v>
      </c>
      <c r="J41" s="3" t="n">
        <v>3</v>
      </c>
      <c r="K41" s="3" t="n">
        <v>6</v>
      </c>
      <c r="L41" s="3" t="str">
        <f aca="false">INDEX($B$6:$B$15,I41)&amp;", "&amp;INDEX($B$6:$B$15,J41)&amp;", "&amp;INDEX($B$6:$B$15,K41)</f>
        <v>21, 23, 55</v>
      </c>
      <c r="M41" s="5" t="n">
        <f aca="false">(INDEX($C$6:$C$15,I41)+INDEX($C$6:$C$15,J41)+INDEX($C$6:$C$15,K41))/3</f>
        <v>0</v>
      </c>
    </row>
    <row r="42" customFormat="false" ht="15" hidden="false" customHeight="false" outlineLevel="0" collapsed="false">
      <c r="H42" s="3" t="n">
        <v>40</v>
      </c>
      <c r="I42" s="3" t="n">
        <v>2</v>
      </c>
      <c r="J42" s="3" t="n">
        <v>3</v>
      </c>
      <c r="K42" s="3" t="n">
        <v>7</v>
      </c>
      <c r="L42" s="3" t="str">
        <f aca="false">INDEX($B$6:$B$15,I42)&amp;", "&amp;INDEX($B$6:$B$15,J42)&amp;", "&amp;INDEX($B$6:$B$15,K42)</f>
        <v>21, 23, 64</v>
      </c>
      <c r="M42" s="5" t="n">
        <f aca="false">(INDEX($C$6:$C$15,I42)+INDEX($C$6:$C$15,J42)+INDEX($C$6:$C$15,K42))/3</f>
        <v>0</v>
      </c>
    </row>
    <row r="43" customFormat="false" ht="15" hidden="false" customHeight="false" outlineLevel="0" collapsed="false">
      <c r="H43" s="3" t="n">
        <v>41</v>
      </c>
      <c r="I43" s="3" t="n">
        <v>2</v>
      </c>
      <c r="J43" s="3" t="n">
        <v>3</v>
      </c>
      <c r="K43" s="3" t="n">
        <v>8</v>
      </c>
      <c r="L43" s="3" t="str">
        <f aca="false">INDEX($B$6:$B$15,I43)&amp;", "&amp;INDEX($B$6:$B$15,J43)&amp;", "&amp;INDEX($B$6:$B$15,K43)</f>
        <v>21, 23, 65</v>
      </c>
      <c r="M43" s="5" t="n">
        <f aca="false">(INDEX($C$6:$C$15,I43)+INDEX($C$6:$C$15,J43)+INDEX($C$6:$C$15,K43))/3</f>
        <v>0</v>
      </c>
    </row>
    <row r="44" customFormat="false" ht="15" hidden="false" customHeight="false" outlineLevel="0" collapsed="false">
      <c r="H44" s="3" t="n">
        <v>42</v>
      </c>
      <c r="I44" s="3" t="n">
        <v>2</v>
      </c>
      <c r="J44" s="3" t="n">
        <v>3</v>
      </c>
      <c r="K44" s="3" t="n">
        <v>9</v>
      </c>
      <c r="L44" s="3" t="str">
        <f aca="false">INDEX($B$6:$B$15,I44)&amp;", "&amp;INDEX($B$6:$B$15,J44)&amp;", "&amp;INDEX($B$6:$B$15,K44)</f>
        <v>21, 23, 72</v>
      </c>
      <c r="M44" s="5" t="n">
        <f aca="false">(INDEX($C$6:$C$15,I44)+INDEX($C$6:$C$15,J44)+INDEX($C$6:$C$15,K44))/3</f>
        <v>0</v>
      </c>
    </row>
    <row r="45" customFormat="false" ht="15" hidden="false" customHeight="false" outlineLevel="0" collapsed="false">
      <c r="H45" s="3" t="n">
        <v>43</v>
      </c>
      <c r="I45" s="3" t="n">
        <v>2</v>
      </c>
      <c r="J45" s="3" t="n">
        <v>3</v>
      </c>
      <c r="K45" s="3" t="n">
        <v>10</v>
      </c>
      <c r="L45" s="3" t="str">
        <f aca="false">INDEX($B$6:$B$15,I45)&amp;", "&amp;INDEX($B$6:$B$15,J45)&amp;", "&amp;INDEX($B$6:$B$15,K45)</f>
        <v>21, 23, 85</v>
      </c>
      <c r="M45" s="5" t="n">
        <f aca="false">(INDEX($C$6:$C$15,I45)+INDEX($C$6:$C$15,J45)+INDEX($C$6:$C$15,K45))/3</f>
        <v>0</v>
      </c>
    </row>
    <row r="46" customFormat="false" ht="15" hidden="false" customHeight="false" outlineLevel="0" collapsed="false">
      <c r="H46" s="3" t="n">
        <v>44</v>
      </c>
      <c r="I46" s="3" t="n">
        <v>2</v>
      </c>
      <c r="J46" s="3" t="n">
        <v>4</v>
      </c>
      <c r="K46" s="3" t="n">
        <v>5</v>
      </c>
      <c r="L46" s="3" t="str">
        <f aca="false">INDEX($B$6:$B$15,I46)&amp;", "&amp;INDEX($B$6:$B$15,J46)&amp;", "&amp;INDEX($B$6:$B$15,K46)</f>
        <v>21, 25, 35</v>
      </c>
      <c r="M46" s="5" t="n">
        <f aca="false">(INDEX($C$6:$C$15,I46)+INDEX($C$6:$C$15,J46)+INDEX($C$6:$C$15,K46))/3</f>
        <v>0</v>
      </c>
    </row>
    <row r="47" customFormat="false" ht="15" hidden="false" customHeight="false" outlineLevel="0" collapsed="false">
      <c r="H47" s="3" t="n">
        <v>45</v>
      </c>
      <c r="I47" s="3" t="n">
        <v>2</v>
      </c>
      <c r="J47" s="3" t="n">
        <v>4</v>
      </c>
      <c r="K47" s="3" t="n">
        <v>6</v>
      </c>
      <c r="L47" s="3" t="str">
        <f aca="false">INDEX($B$6:$B$15,I47)&amp;", "&amp;INDEX($B$6:$B$15,J47)&amp;", "&amp;INDEX($B$6:$B$15,K47)</f>
        <v>21, 25, 55</v>
      </c>
      <c r="M47" s="5" t="n">
        <f aca="false">(INDEX($C$6:$C$15,I47)+INDEX($C$6:$C$15,J47)+INDEX($C$6:$C$15,K47))/3</f>
        <v>0</v>
      </c>
    </row>
    <row r="48" customFormat="false" ht="15" hidden="false" customHeight="false" outlineLevel="0" collapsed="false">
      <c r="H48" s="3" t="n">
        <v>46</v>
      </c>
      <c r="I48" s="3" t="n">
        <v>2</v>
      </c>
      <c r="J48" s="3" t="n">
        <v>4</v>
      </c>
      <c r="K48" s="3" t="n">
        <v>7</v>
      </c>
      <c r="L48" s="3" t="str">
        <f aca="false">INDEX($B$6:$B$15,I48)&amp;", "&amp;INDEX($B$6:$B$15,J48)&amp;", "&amp;INDEX($B$6:$B$15,K48)</f>
        <v>21, 25, 64</v>
      </c>
      <c r="M48" s="5" t="n">
        <f aca="false">(INDEX($C$6:$C$15,I48)+INDEX($C$6:$C$15,J48)+INDEX($C$6:$C$15,K48))/3</f>
        <v>0</v>
      </c>
    </row>
    <row r="49" customFormat="false" ht="15" hidden="false" customHeight="false" outlineLevel="0" collapsed="false">
      <c r="H49" s="3" t="n">
        <v>47</v>
      </c>
      <c r="I49" s="3" t="n">
        <v>2</v>
      </c>
      <c r="J49" s="3" t="n">
        <v>4</v>
      </c>
      <c r="K49" s="3" t="n">
        <v>8</v>
      </c>
      <c r="L49" s="3" t="str">
        <f aca="false">INDEX($B$6:$B$15,I49)&amp;", "&amp;INDEX($B$6:$B$15,J49)&amp;", "&amp;INDEX($B$6:$B$15,K49)</f>
        <v>21, 25, 65</v>
      </c>
      <c r="M49" s="5" t="n">
        <f aca="false">(INDEX($C$6:$C$15,I49)+INDEX($C$6:$C$15,J49)+INDEX($C$6:$C$15,K49))/3</f>
        <v>0</v>
      </c>
    </row>
    <row r="50" customFormat="false" ht="15" hidden="false" customHeight="false" outlineLevel="0" collapsed="false">
      <c r="H50" s="3" t="n">
        <v>48</v>
      </c>
      <c r="I50" s="3" t="n">
        <v>2</v>
      </c>
      <c r="J50" s="3" t="n">
        <v>4</v>
      </c>
      <c r="K50" s="3" t="n">
        <v>9</v>
      </c>
      <c r="L50" s="3" t="str">
        <f aca="false">INDEX($B$6:$B$15,I50)&amp;", "&amp;INDEX($B$6:$B$15,J50)&amp;", "&amp;INDEX($B$6:$B$15,K50)</f>
        <v>21, 25, 72</v>
      </c>
      <c r="M50" s="5" t="n">
        <f aca="false">(INDEX($C$6:$C$15,I50)+INDEX($C$6:$C$15,J50)+INDEX($C$6:$C$15,K50))/3</f>
        <v>0</v>
      </c>
    </row>
    <row r="51" customFormat="false" ht="15" hidden="false" customHeight="false" outlineLevel="0" collapsed="false">
      <c r="H51" s="3" t="n">
        <v>49</v>
      </c>
      <c r="I51" s="3" t="n">
        <v>2</v>
      </c>
      <c r="J51" s="3" t="n">
        <v>4</v>
      </c>
      <c r="K51" s="3" t="n">
        <v>10</v>
      </c>
      <c r="L51" s="3" t="str">
        <f aca="false">INDEX($B$6:$B$15,I51)&amp;", "&amp;INDEX($B$6:$B$15,J51)&amp;", "&amp;INDEX($B$6:$B$15,K51)</f>
        <v>21, 25, 85</v>
      </c>
      <c r="M51" s="5" t="n">
        <f aca="false">(INDEX($C$6:$C$15,I51)+INDEX($C$6:$C$15,J51)+INDEX($C$6:$C$15,K51))/3</f>
        <v>0</v>
      </c>
    </row>
    <row r="52" customFormat="false" ht="15" hidden="false" customHeight="false" outlineLevel="0" collapsed="false">
      <c r="H52" s="3" t="n">
        <v>50</v>
      </c>
      <c r="I52" s="3" t="n">
        <v>2</v>
      </c>
      <c r="J52" s="3" t="n">
        <v>5</v>
      </c>
      <c r="K52" s="3" t="n">
        <v>6</v>
      </c>
      <c r="L52" s="3" t="str">
        <f aca="false">INDEX($B$6:$B$15,I52)&amp;", "&amp;INDEX($B$6:$B$15,J52)&amp;", "&amp;INDEX($B$6:$B$15,K52)</f>
        <v>21, 35, 55</v>
      </c>
      <c r="M52" s="5" t="n">
        <f aca="false">(INDEX($C$6:$C$15,I52)+INDEX($C$6:$C$15,J52)+INDEX($C$6:$C$15,K52))/3</f>
        <v>0</v>
      </c>
    </row>
    <row r="53" customFormat="false" ht="15" hidden="false" customHeight="false" outlineLevel="0" collapsed="false">
      <c r="H53" s="3" t="n">
        <v>51</v>
      </c>
      <c r="I53" s="3" t="n">
        <v>2</v>
      </c>
      <c r="J53" s="3" t="n">
        <v>5</v>
      </c>
      <c r="K53" s="3" t="n">
        <v>7</v>
      </c>
      <c r="L53" s="3" t="str">
        <f aca="false">INDEX($B$6:$B$15,I53)&amp;", "&amp;INDEX($B$6:$B$15,J53)&amp;", "&amp;INDEX($B$6:$B$15,K53)</f>
        <v>21, 35, 64</v>
      </c>
      <c r="M53" s="5" t="n">
        <f aca="false">(INDEX($C$6:$C$15,I53)+INDEX($C$6:$C$15,J53)+INDEX($C$6:$C$15,K53))/3</f>
        <v>0</v>
      </c>
    </row>
    <row r="54" customFormat="false" ht="15" hidden="false" customHeight="false" outlineLevel="0" collapsed="false">
      <c r="H54" s="3" t="n">
        <v>52</v>
      </c>
      <c r="I54" s="3" t="n">
        <v>2</v>
      </c>
      <c r="J54" s="3" t="n">
        <v>5</v>
      </c>
      <c r="K54" s="3" t="n">
        <v>8</v>
      </c>
      <c r="L54" s="3" t="str">
        <f aca="false">INDEX($B$6:$B$15,I54)&amp;", "&amp;INDEX($B$6:$B$15,J54)&amp;", "&amp;INDEX($B$6:$B$15,K54)</f>
        <v>21, 35, 65</v>
      </c>
      <c r="M54" s="5" t="n">
        <f aca="false">(INDEX($C$6:$C$15,I54)+INDEX($C$6:$C$15,J54)+INDEX($C$6:$C$15,K54))/3</f>
        <v>0</v>
      </c>
    </row>
    <row r="55" customFormat="false" ht="15" hidden="false" customHeight="false" outlineLevel="0" collapsed="false">
      <c r="H55" s="3" t="n">
        <v>53</v>
      </c>
      <c r="I55" s="3" t="n">
        <v>2</v>
      </c>
      <c r="J55" s="3" t="n">
        <v>5</v>
      </c>
      <c r="K55" s="3" t="n">
        <v>9</v>
      </c>
      <c r="L55" s="3" t="str">
        <f aca="false">INDEX($B$6:$B$15,I55)&amp;", "&amp;INDEX($B$6:$B$15,J55)&amp;", "&amp;INDEX($B$6:$B$15,K55)</f>
        <v>21, 35, 72</v>
      </c>
      <c r="M55" s="5" t="n">
        <f aca="false">(INDEX($C$6:$C$15,I55)+INDEX($C$6:$C$15,J55)+INDEX($C$6:$C$15,K55))/3</f>
        <v>0</v>
      </c>
    </row>
    <row r="56" customFormat="false" ht="15" hidden="false" customHeight="false" outlineLevel="0" collapsed="false">
      <c r="H56" s="3" t="n">
        <v>54</v>
      </c>
      <c r="I56" s="3" t="n">
        <v>2</v>
      </c>
      <c r="J56" s="3" t="n">
        <v>5</v>
      </c>
      <c r="K56" s="3" t="n">
        <v>10</v>
      </c>
      <c r="L56" s="3" t="str">
        <f aca="false">INDEX($B$6:$B$15,I56)&amp;", "&amp;INDEX($B$6:$B$15,J56)&amp;", "&amp;INDEX($B$6:$B$15,K56)</f>
        <v>21, 35, 85</v>
      </c>
      <c r="M56" s="5" t="n">
        <f aca="false">(INDEX($C$6:$C$15,I56)+INDEX($C$6:$C$15,J56)+INDEX($C$6:$C$15,K56))/3</f>
        <v>0</v>
      </c>
    </row>
    <row r="57" customFormat="false" ht="15" hidden="false" customHeight="false" outlineLevel="0" collapsed="false">
      <c r="H57" s="3" t="n">
        <v>55</v>
      </c>
      <c r="I57" s="3" t="n">
        <v>2</v>
      </c>
      <c r="J57" s="3" t="n">
        <v>6</v>
      </c>
      <c r="K57" s="3" t="n">
        <v>7</v>
      </c>
      <c r="L57" s="3" t="str">
        <f aca="false">INDEX($B$6:$B$15,I57)&amp;", "&amp;INDEX($B$6:$B$15,J57)&amp;", "&amp;INDEX($B$6:$B$15,K57)</f>
        <v>21, 55, 64</v>
      </c>
      <c r="M57" s="5" t="n">
        <f aca="false">(INDEX($C$6:$C$15,I57)+INDEX($C$6:$C$15,J57)+INDEX($C$6:$C$15,K57))/3</f>
        <v>0</v>
      </c>
    </row>
    <row r="58" customFormat="false" ht="15" hidden="false" customHeight="false" outlineLevel="0" collapsed="false">
      <c r="H58" s="3" t="n">
        <v>56</v>
      </c>
      <c r="I58" s="3" t="n">
        <v>2</v>
      </c>
      <c r="J58" s="3" t="n">
        <v>6</v>
      </c>
      <c r="K58" s="3" t="n">
        <v>8</v>
      </c>
      <c r="L58" s="3" t="str">
        <f aca="false">INDEX($B$6:$B$15,I58)&amp;", "&amp;INDEX($B$6:$B$15,J58)&amp;", "&amp;INDEX($B$6:$B$15,K58)</f>
        <v>21, 55, 65</v>
      </c>
      <c r="M58" s="5" t="n">
        <f aca="false">(INDEX($C$6:$C$15,I58)+INDEX($C$6:$C$15,J58)+INDEX($C$6:$C$15,K58))/3</f>
        <v>0</v>
      </c>
    </row>
    <row r="59" customFormat="false" ht="15" hidden="false" customHeight="false" outlineLevel="0" collapsed="false">
      <c r="H59" s="3" t="n">
        <v>57</v>
      </c>
      <c r="I59" s="3" t="n">
        <v>2</v>
      </c>
      <c r="J59" s="3" t="n">
        <v>6</v>
      </c>
      <c r="K59" s="3" t="n">
        <v>9</v>
      </c>
      <c r="L59" s="3" t="str">
        <f aca="false">INDEX($B$6:$B$15,I59)&amp;", "&amp;INDEX($B$6:$B$15,J59)&amp;", "&amp;INDEX($B$6:$B$15,K59)</f>
        <v>21, 55, 72</v>
      </c>
      <c r="M59" s="5" t="n">
        <f aca="false">(INDEX($C$6:$C$15,I59)+INDEX($C$6:$C$15,J59)+INDEX($C$6:$C$15,K59))/3</f>
        <v>0</v>
      </c>
    </row>
    <row r="60" customFormat="false" ht="15" hidden="false" customHeight="false" outlineLevel="0" collapsed="false">
      <c r="H60" s="3" t="n">
        <v>58</v>
      </c>
      <c r="I60" s="3" t="n">
        <v>2</v>
      </c>
      <c r="J60" s="3" t="n">
        <v>6</v>
      </c>
      <c r="K60" s="3" t="n">
        <v>10</v>
      </c>
      <c r="L60" s="3" t="str">
        <f aca="false">INDEX($B$6:$B$15,I60)&amp;", "&amp;INDEX($B$6:$B$15,J60)&amp;", "&amp;INDEX($B$6:$B$15,K60)</f>
        <v>21, 55, 85</v>
      </c>
      <c r="M60" s="5" t="n">
        <f aca="false">(INDEX($C$6:$C$15,I60)+INDEX($C$6:$C$15,J60)+INDEX($C$6:$C$15,K60))/3</f>
        <v>0</v>
      </c>
    </row>
    <row r="61" customFormat="false" ht="15" hidden="false" customHeight="false" outlineLevel="0" collapsed="false">
      <c r="H61" s="3" t="n">
        <v>59</v>
      </c>
      <c r="I61" s="3" t="n">
        <v>2</v>
      </c>
      <c r="J61" s="3" t="n">
        <v>7</v>
      </c>
      <c r="K61" s="3" t="n">
        <v>8</v>
      </c>
      <c r="L61" s="3" t="str">
        <f aca="false">INDEX($B$6:$B$15,I61)&amp;", "&amp;INDEX($B$6:$B$15,J61)&amp;", "&amp;INDEX($B$6:$B$15,K61)</f>
        <v>21, 64, 65</v>
      </c>
      <c r="M61" s="5" t="n">
        <f aca="false">(INDEX($C$6:$C$15,I61)+INDEX($C$6:$C$15,J61)+INDEX($C$6:$C$15,K61))/3</f>
        <v>0</v>
      </c>
    </row>
    <row r="62" customFormat="false" ht="15" hidden="false" customHeight="false" outlineLevel="0" collapsed="false">
      <c r="H62" s="3" t="n">
        <v>60</v>
      </c>
      <c r="I62" s="3" t="n">
        <v>2</v>
      </c>
      <c r="J62" s="3" t="n">
        <v>7</v>
      </c>
      <c r="K62" s="3" t="n">
        <v>9</v>
      </c>
      <c r="L62" s="3" t="str">
        <f aca="false">INDEX($B$6:$B$15,I62)&amp;", "&amp;INDEX($B$6:$B$15,J62)&amp;", "&amp;INDEX($B$6:$B$15,K62)</f>
        <v>21, 64, 72</v>
      </c>
      <c r="M62" s="5" t="n">
        <f aca="false">(INDEX($C$6:$C$15,I62)+INDEX($C$6:$C$15,J62)+INDEX($C$6:$C$15,K62))/3</f>
        <v>0</v>
      </c>
    </row>
    <row r="63" customFormat="false" ht="15" hidden="false" customHeight="false" outlineLevel="0" collapsed="false">
      <c r="H63" s="3" t="n">
        <v>61</v>
      </c>
      <c r="I63" s="3" t="n">
        <v>2</v>
      </c>
      <c r="J63" s="3" t="n">
        <v>7</v>
      </c>
      <c r="K63" s="3" t="n">
        <v>10</v>
      </c>
      <c r="L63" s="3" t="str">
        <f aca="false">INDEX($B$6:$B$15,I63)&amp;", "&amp;INDEX($B$6:$B$15,J63)&amp;", "&amp;INDEX($B$6:$B$15,K63)</f>
        <v>21, 64, 85</v>
      </c>
      <c r="M63" s="5" t="n">
        <f aca="false">(INDEX($C$6:$C$15,I63)+INDEX($C$6:$C$15,J63)+INDEX($C$6:$C$15,K63))/3</f>
        <v>0</v>
      </c>
    </row>
    <row r="64" customFormat="false" ht="15" hidden="false" customHeight="false" outlineLevel="0" collapsed="false">
      <c r="H64" s="3" t="n">
        <v>62</v>
      </c>
      <c r="I64" s="3" t="n">
        <v>2</v>
      </c>
      <c r="J64" s="3" t="n">
        <v>8</v>
      </c>
      <c r="K64" s="3" t="n">
        <v>9</v>
      </c>
      <c r="L64" s="3" t="str">
        <f aca="false">INDEX($B$6:$B$15,I64)&amp;", "&amp;INDEX($B$6:$B$15,J64)&amp;", "&amp;INDEX($B$6:$B$15,K64)</f>
        <v>21, 65, 72</v>
      </c>
      <c r="M64" s="5" t="n">
        <f aca="false">(INDEX($C$6:$C$15,I64)+INDEX($C$6:$C$15,J64)+INDEX($C$6:$C$15,K64))/3</f>
        <v>0</v>
      </c>
    </row>
    <row r="65" customFormat="false" ht="15" hidden="false" customHeight="false" outlineLevel="0" collapsed="false">
      <c r="H65" s="3" t="n">
        <v>63</v>
      </c>
      <c r="I65" s="3" t="n">
        <v>2</v>
      </c>
      <c r="J65" s="3" t="n">
        <v>8</v>
      </c>
      <c r="K65" s="3" t="n">
        <v>10</v>
      </c>
      <c r="L65" s="3" t="str">
        <f aca="false">INDEX($B$6:$B$15,I65)&amp;", "&amp;INDEX($B$6:$B$15,J65)&amp;", "&amp;INDEX($B$6:$B$15,K65)</f>
        <v>21, 65, 85</v>
      </c>
      <c r="M65" s="5" t="n">
        <f aca="false">(INDEX($C$6:$C$15,I65)+INDEX($C$6:$C$15,J65)+INDEX($C$6:$C$15,K65))/3</f>
        <v>0</v>
      </c>
    </row>
    <row r="66" customFormat="false" ht="15" hidden="false" customHeight="false" outlineLevel="0" collapsed="false">
      <c r="H66" s="3" t="n">
        <v>64</v>
      </c>
      <c r="I66" s="3" t="n">
        <v>2</v>
      </c>
      <c r="J66" s="3" t="n">
        <v>9</v>
      </c>
      <c r="K66" s="3" t="n">
        <v>10</v>
      </c>
      <c r="L66" s="3" t="str">
        <f aca="false">INDEX($B$6:$B$15,I66)&amp;", "&amp;INDEX($B$6:$B$15,J66)&amp;", "&amp;INDEX($B$6:$B$15,K66)</f>
        <v>21, 72, 85</v>
      </c>
      <c r="M66" s="5" t="n">
        <f aca="false">(INDEX($C$6:$C$15,I66)+INDEX($C$6:$C$15,J66)+INDEX($C$6:$C$15,K66))/3</f>
        <v>0</v>
      </c>
    </row>
    <row r="67" customFormat="false" ht="15" hidden="false" customHeight="false" outlineLevel="0" collapsed="false">
      <c r="H67" s="3" t="n">
        <v>65</v>
      </c>
      <c r="I67" s="3" t="n">
        <v>3</v>
      </c>
      <c r="J67" s="3" t="n">
        <v>4</v>
      </c>
      <c r="K67" s="3" t="n">
        <v>5</v>
      </c>
      <c r="L67" s="3" t="str">
        <f aca="false">INDEX($B$6:$B$15,I67)&amp;", "&amp;INDEX($B$6:$B$15,J67)&amp;", "&amp;INDEX($B$6:$B$15,K67)</f>
        <v>23, 25, 35</v>
      </c>
      <c r="M67" s="5" t="n">
        <f aca="false">(INDEX($C$6:$C$15,I67)+INDEX($C$6:$C$15,J67)+INDEX($C$6:$C$15,K67))/3</f>
        <v>0</v>
      </c>
    </row>
    <row r="68" customFormat="false" ht="15" hidden="false" customHeight="false" outlineLevel="0" collapsed="false">
      <c r="H68" s="3" t="n">
        <v>66</v>
      </c>
      <c r="I68" s="3" t="n">
        <v>3</v>
      </c>
      <c r="J68" s="3" t="n">
        <v>4</v>
      </c>
      <c r="K68" s="3" t="n">
        <v>6</v>
      </c>
      <c r="L68" s="3" t="str">
        <f aca="false">INDEX($B$6:$B$15,I68)&amp;", "&amp;INDEX($B$6:$B$15,J68)&amp;", "&amp;INDEX($B$6:$B$15,K68)</f>
        <v>23, 25, 55</v>
      </c>
      <c r="M68" s="5" t="n">
        <f aca="false">(INDEX($C$6:$C$15,I68)+INDEX($C$6:$C$15,J68)+INDEX($C$6:$C$15,K68))/3</f>
        <v>0</v>
      </c>
    </row>
    <row r="69" customFormat="false" ht="15" hidden="false" customHeight="false" outlineLevel="0" collapsed="false">
      <c r="H69" s="3" t="n">
        <v>67</v>
      </c>
      <c r="I69" s="3" t="n">
        <v>3</v>
      </c>
      <c r="J69" s="3" t="n">
        <v>4</v>
      </c>
      <c r="K69" s="3" t="n">
        <v>7</v>
      </c>
      <c r="L69" s="3" t="str">
        <f aca="false">INDEX($B$6:$B$15,I69)&amp;", "&amp;INDEX($B$6:$B$15,J69)&amp;", "&amp;INDEX($B$6:$B$15,K69)</f>
        <v>23, 25, 64</v>
      </c>
      <c r="M69" s="5" t="n">
        <f aca="false">(INDEX($C$6:$C$15,I69)+INDEX($C$6:$C$15,J69)+INDEX($C$6:$C$15,K69))/3</f>
        <v>0</v>
      </c>
    </row>
    <row r="70" customFormat="false" ht="15" hidden="false" customHeight="false" outlineLevel="0" collapsed="false">
      <c r="H70" s="3" t="n">
        <v>68</v>
      </c>
      <c r="I70" s="3" t="n">
        <v>3</v>
      </c>
      <c r="J70" s="3" t="n">
        <v>4</v>
      </c>
      <c r="K70" s="3" t="n">
        <v>8</v>
      </c>
      <c r="L70" s="3" t="str">
        <f aca="false">INDEX($B$6:$B$15,I70)&amp;", "&amp;INDEX($B$6:$B$15,J70)&amp;", "&amp;INDEX($B$6:$B$15,K70)</f>
        <v>23, 25, 65</v>
      </c>
      <c r="M70" s="5" t="n">
        <f aca="false">(INDEX($C$6:$C$15,I70)+INDEX($C$6:$C$15,J70)+INDEX($C$6:$C$15,K70))/3</f>
        <v>0</v>
      </c>
    </row>
    <row r="71" customFormat="false" ht="15" hidden="false" customHeight="false" outlineLevel="0" collapsed="false">
      <c r="H71" s="3" t="n">
        <v>69</v>
      </c>
      <c r="I71" s="3" t="n">
        <v>3</v>
      </c>
      <c r="J71" s="3" t="n">
        <v>4</v>
      </c>
      <c r="K71" s="3" t="n">
        <v>9</v>
      </c>
      <c r="L71" s="3" t="str">
        <f aca="false">INDEX($B$6:$B$15,I71)&amp;", "&amp;INDEX($B$6:$B$15,J71)&amp;", "&amp;INDEX($B$6:$B$15,K71)</f>
        <v>23, 25, 72</v>
      </c>
      <c r="M71" s="5" t="n">
        <f aca="false">(INDEX($C$6:$C$15,I71)+INDEX($C$6:$C$15,J71)+INDEX($C$6:$C$15,K71))/3</f>
        <v>0</v>
      </c>
    </row>
    <row r="72" customFormat="false" ht="15" hidden="false" customHeight="false" outlineLevel="0" collapsed="false">
      <c r="H72" s="3" t="n">
        <v>70</v>
      </c>
      <c r="I72" s="3" t="n">
        <v>3</v>
      </c>
      <c r="J72" s="3" t="n">
        <v>4</v>
      </c>
      <c r="K72" s="3" t="n">
        <v>10</v>
      </c>
      <c r="L72" s="3" t="str">
        <f aca="false">INDEX($B$6:$B$15,I72)&amp;", "&amp;INDEX($B$6:$B$15,J72)&amp;", "&amp;INDEX($B$6:$B$15,K72)</f>
        <v>23, 25, 85</v>
      </c>
      <c r="M72" s="5" t="n">
        <f aca="false">(INDEX($C$6:$C$15,I72)+INDEX($C$6:$C$15,J72)+INDEX($C$6:$C$15,K72))/3</f>
        <v>0</v>
      </c>
    </row>
    <row r="73" customFormat="false" ht="15" hidden="false" customHeight="false" outlineLevel="0" collapsed="false">
      <c r="H73" s="3" t="n">
        <v>71</v>
      </c>
      <c r="I73" s="3" t="n">
        <v>3</v>
      </c>
      <c r="J73" s="3" t="n">
        <v>5</v>
      </c>
      <c r="K73" s="3" t="n">
        <v>6</v>
      </c>
      <c r="L73" s="3" t="str">
        <f aca="false">INDEX($B$6:$B$15,I73)&amp;", "&amp;INDEX($B$6:$B$15,J73)&amp;", "&amp;INDEX($B$6:$B$15,K73)</f>
        <v>23, 35, 55</v>
      </c>
      <c r="M73" s="5" t="n">
        <f aca="false">(INDEX($C$6:$C$15,I73)+INDEX($C$6:$C$15,J73)+INDEX($C$6:$C$15,K73))/3</f>
        <v>0</v>
      </c>
    </row>
    <row r="74" customFormat="false" ht="15" hidden="false" customHeight="false" outlineLevel="0" collapsed="false">
      <c r="H74" s="3" t="n">
        <v>72</v>
      </c>
      <c r="I74" s="3" t="n">
        <v>3</v>
      </c>
      <c r="J74" s="3" t="n">
        <v>5</v>
      </c>
      <c r="K74" s="3" t="n">
        <v>7</v>
      </c>
      <c r="L74" s="3" t="str">
        <f aca="false">INDEX($B$6:$B$15,I74)&amp;", "&amp;INDEX($B$6:$B$15,J74)&amp;", "&amp;INDEX($B$6:$B$15,K74)</f>
        <v>23, 35, 64</v>
      </c>
      <c r="M74" s="5" t="n">
        <f aca="false">(INDEX($C$6:$C$15,I74)+INDEX($C$6:$C$15,J74)+INDEX($C$6:$C$15,K74))/3</f>
        <v>0</v>
      </c>
    </row>
    <row r="75" customFormat="false" ht="15" hidden="false" customHeight="false" outlineLevel="0" collapsed="false">
      <c r="H75" s="3" t="n">
        <v>73</v>
      </c>
      <c r="I75" s="3" t="n">
        <v>3</v>
      </c>
      <c r="J75" s="3" t="n">
        <v>5</v>
      </c>
      <c r="K75" s="3" t="n">
        <v>8</v>
      </c>
      <c r="L75" s="3" t="str">
        <f aca="false">INDEX($B$6:$B$15,I75)&amp;", "&amp;INDEX($B$6:$B$15,J75)&amp;", "&amp;INDEX($B$6:$B$15,K75)</f>
        <v>23, 35, 65</v>
      </c>
      <c r="M75" s="5" t="n">
        <f aca="false">(INDEX($C$6:$C$15,I75)+INDEX($C$6:$C$15,J75)+INDEX($C$6:$C$15,K75))/3</f>
        <v>0</v>
      </c>
    </row>
    <row r="76" customFormat="false" ht="15" hidden="false" customHeight="false" outlineLevel="0" collapsed="false">
      <c r="H76" s="3" t="n">
        <v>74</v>
      </c>
      <c r="I76" s="3" t="n">
        <v>3</v>
      </c>
      <c r="J76" s="3" t="n">
        <v>5</v>
      </c>
      <c r="K76" s="3" t="n">
        <v>9</v>
      </c>
      <c r="L76" s="3" t="str">
        <f aca="false">INDEX($B$6:$B$15,I76)&amp;", "&amp;INDEX($B$6:$B$15,J76)&amp;", "&amp;INDEX($B$6:$B$15,K76)</f>
        <v>23, 35, 72</v>
      </c>
      <c r="M76" s="5" t="n">
        <f aca="false">(INDEX($C$6:$C$15,I76)+INDEX($C$6:$C$15,J76)+INDEX($C$6:$C$15,K76))/3</f>
        <v>0</v>
      </c>
    </row>
    <row r="77" customFormat="false" ht="15" hidden="false" customHeight="false" outlineLevel="0" collapsed="false">
      <c r="H77" s="3" t="n">
        <v>75</v>
      </c>
      <c r="I77" s="3" t="n">
        <v>3</v>
      </c>
      <c r="J77" s="3" t="n">
        <v>5</v>
      </c>
      <c r="K77" s="3" t="n">
        <v>10</v>
      </c>
      <c r="L77" s="3" t="str">
        <f aca="false">INDEX($B$6:$B$15,I77)&amp;", "&amp;INDEX($B$6:$B$15,J77)&amp;", "&amp;INDEX($B$6:$B$15,K77)</f>
        <v>23, 35, 85</v>
      </c>
      <c r="M77" s="5" t="n">
        <f aca="false">(INDEX($C$6:$C$15,I77)+INDEX($C$6:$C$15,J77)+INDEX($C$6:$C$15,K77))/3</f>
        <v>0</v>
      </c>
    </row>
    <row r="78" customFormat="false" ht="15" hidden="false" customHeight="false" outlineLevel="0" collapsed="false">
      <c r="H78" s="3" t="n">
        <v>76</v>
      </c>
      <c r="I78" s="3" t="n">
        <v>3</v>
      </c>
      <c r="J78" s="3" t="n">
        <v>6</v>
      </c>
      <c r="K78" s="3" t="n">
        <v>7</v>
      </c>
      <c r="L78" s="3" t="str">
        <f aca="false">INDEX($B$6:$B$15,I78)&amp;", "&amp;INDEX($B$6:$B$15,J78)&amp;", "&amp;INDEX($B$6:$B$15,K78)</f>
        <v>23, 55, 64</v>
      </c>
      <c r="M78" s="5" t="n">
        <f aca="false">(INDEX($C$6:$C$15,I78)+INDEX($C$6:$C$15,J78)+INDEX($C$6:$C$15,K78))/3</f>
        <v>0</v>
      </c>
    </row>
    <row r="79" customFormat="false" ht="15" hidden="false" customHeight="false" outlineLevel="0" collapsed="false">
      <c r="H79" s="3" t="n">
        <v>77</v>
      </c>
      <c r="I79" s="3" t="n">
        <v>3</v>
      </c>
      <c r="J79" s="3" t="n">
        <v>6</v>
      </c>
      <c r="K79" s="3" t="n">
        <v>8</v>
      </c>
      <c r="L79" s="3" t="str">
        <f aca="false">INDEX($B$6:$B$15,I79)&amp;", "&amp;INDEX($B$6:$B$15,J79)&amp;", "&amp;INDEX($B$6:$B$15,K79)</f>
        <v>23, 55, 65</v>
      </c>
      <c r="M79" s="5" t="n">
        <f aca="false">(INDEX($C$6:$C$15,I79)+INDEX($C$6:$C$15,J79)+INDEX($C$6:$C$15,K79))/3</f>
        <v>0</v>
      </c>
    </row>
    <row r="80" customFormat="false" ht="15" hidden="false" customHeight="false" outlineLevel="0" collapsed="false">
      <c r="H80" s="3" t="n">
        <v>78</v>
      </c>
      <c r="I80" s="3" t="n">
        <v>3</v>
      </c>
      <c r="J80" s="3" t="n">
        <v>6</v>
      </c>
      <c r="K80" s="3" t="n">
        <v>9</v>
      </c>
      <c r="L80" s="3" t="str">
        <f aca="false">INDEX($B$6:$B$15,I80)&amp;", "&amp;INDEX($B$6:$B$15,J80)&amp;", "&amp;INDEX($B$6:$B$15,K80)</f>
        <v>23, 55, 72</v>
      </c>
      <c r="M80" s="5" t="n">
        <f aca="false">(INDEX($C$6:$C$15,I80)+INDEX($C$6:$C$15,J80)+INDEX($C$6:$C$15,K80))/3</f>
        <v>0</v>
      </c>
    </row>
    <row r="81" customFormat="false" ht="15" hidden="false" customHeight="false" outlineLevel="0" collapsed="false">
      <c r="H81" s="3" t="n">
        <v>79</v>
      </c>
      <c r="I81" s="3" t="n">
        <v>3</v>
      </c>
      <c r="J81" s="3" t="n">
        <v>6</v>
      </c>
      <c r="K81" s="3" t="n">
        <v>10</v>
      </c>
      <c r="L81" s="3" t="str">
        <f aca="false">INDEX($B$6:$B$15,I81)&amp;", "&amp;INDEX($B$6:$B$15,J81)&amp;", "&amp;INDEX($B$6:$B$15,K81)</f>
        <v>23, 55, 85</v>
      </c>
      <c r="M81" s="5" t="n">
        <f aca="false">(INDEX($C$6:$C$15,I81)+INDEX($C$6:$C$15,J81)+INDEX($C$6:$C$15,K81))/3</f>
        <v>0</v>
      </c>
    </row>
    <row r="82" customFormat="false" ht="15" hidden="false" customHeight="false" outlineLevel="0" collapsed="false">
      <c r="H82" s="3" t="n">
        <v>80</v>
      </c>
      <c r="I82" s="3" t="n">
        <v>3</v>
      </c>
      <c r="J82" s="3" t="n">
        <v>7</v>
      </c>
      <c r="K82" s="3" t="n">
        <v>8</v>
      </c>
      <c r="L82" s="3" t="str">
        <f aca="false">INDEX($B$6:$B$15,I82)&amp;", "&amp;INDEX($B$6:$B$15,J82)&amp;", "&amp;INDEX($B$6:$B$15,K82)</f>
        <v>23, 64, 65</v>
      </c>
      <c r="M82" s="5" t="n">
        <f aca="false">(INDEX($C$6:$C$15,I82)+INDEX($C$6:$C$15,J82)+INDEX($C$6:$C$15,K82))/3</f>
        <v>0</v>
      </c>
    </row>
    <row r="83" customFormat="false" ht="15" hidden="false" customHeight="false" outlineLevel="0" collapsed="false">
      <c r="H83" s="3" t="n">
        <v>81</v>
      </c>
      <c r="I83" s="3" t="n">
        <v>3</v>
      </c>
      <c r="J83" s="3" t="n">
        <v>7</v>
      </c>
      <c r="K83" s="3" t="n">
        <v>9</v>
      </c>
      <c r="L83" s="3" t="str">
        <f aca="false">INDEX($B$6:$B$15,I83)&amp;", "&amp;INDEX($B$6:$B$15,J83)&amp;", "&amp;INDEX($B$6:$B$15,K83)</f>
        <v>23, 64, 72</v>
      </c>
      <c r="M83" s="5" t="n">
        <f aca="false">(INDEX($C$6:$C$15,I83)+INDEX($C$6:$C$15,J83)+INDEX($C$6:$C$15,K83))/3</f>
        <v>0</v>
      </c>
    </row>
    <row r="84" customFormat="false" ht="15" hidden="false" customHeight="false" outlineLevel="0" collapsed="false">
      <c r="H84" s="3" t="n">
        <v>82</v>
      </c>
      <c r="I84" s="3" t="n">
        <v>3</v>
      </c>
      <c r="J84" s="3" t="n">
        <v>7</v>
      </c>
      <c r="K84" s="3" t="n">
        <v>10</v>
      </c>
      <c r="L84" s="3" t="str">
        <f aca="false">INDEX($B$6:$B$15,I84)&amp;", "&amp;INDEX($B$6:$B$15,J84)&amp;", "&amp;INDEX($B$6:$B$15,K84)</f>
        <v>23, 64, 85</v>
      </c>
      <c r="M84" s="5" t="n">
        <f aca="false">(INDEX($C$6:$C$15,I84)+INDEX($C$6:$C$15,J84)+INDEX($C$6:$C$15,K84))/3</f>
        <v>0</v>
      </c>
    </row>
    <row r="85" customFormat="false" ht="15" hidden="false" customHeight="false" outlineLevel="0" collapsed="false">
      <c r="H85" s="3" t="n">
        <v>83</v>
      </c>
      <c r="I85" s="3" t="n">
        <v>3</v>
      </c>
      <c r="J85" s="3" t="n">
        <v>8</v>
      </c>
      <c r="K85" s="3" t="n">
        <v>9</v>
      </c>
      <c r="L85" s="3" t="str">
        <f aca="false">INDEX($B$6:$B$15,I85)&amp;", "&amp;INDEX($B$6:$B$15,J85)&amp;", "&amp;INDEX($B$6:$B$15,K85)</f>
        <v>23, 65, 72</v>
      </c>
      <c r="M85" s="5" t="n">
        <f aca="false">(INDEX($C$6:$C$15,I85)+INDEX($C$6:$C$15,J85)+INDEX($C$6:$C$15,K85))/3</f>
        <v>0</v>
      </c>
    </row>
    <row r="86" customFormat="false" ht="15" hidden="false" customHeight="false" outlineLevel="0" collapsed="false">
      <c r="H86" s="3" t="n">
        <v>84</v>
      </c>
      <c r="I86" s="3" t="n">
        <v>3</v>
      </c>
      <c r="J86" s="3" t="n">
        <v>8</v>
      </c>
      <c r="K86" s="3" t="n">
        <v>10</v>
      </c>
      <c r="L86" s="3" t="str">
        <f aca="false">INDEX($B$6:$B$15,I86)&amp;", "&amp;INDEX($B$6:$B$15,J86)&amp;", "&amp;INDEX($B$6:$B$15,K86)</f>
        <v>23, 65, 85</v>
      </c>
      <c r="M86" s="5" t="n">
        <f aca="false">(INDEX($C$6:$C$15,I86)+INDEX($C$6:$C$15,J86)+INDEX($C$6:$C$15,K86))/3</f>
        <v>0</v>
      </c>
    </row>
    <row r="87" customFormat="false" ht="15" hidden="false" customHeight="false" outlineLevel="0" collapsed="false">
      <c r="H87" s="3" t="n">
        <v>85</v>
      </c>
      <c r="I87" s="3" t="n">
        <v>3</v>
      </c>
      <c r="J87" s="3" t="n">
        <v>9</v>
      </c>
      <c r="K87" s="3" t="n">
        <v>10</v>
      </c>
      <c r="L87" s="3" t="str">
        <f aca="false">INDEX($B$6:$B$15,I87)&amp;", "&amp;INDEX($B$6:$B$15,J87)&amp;", "&amp;INDEX($B$6:$B$15,K87)</f>
        <v>23, 72, 85</v>
      </c>
      <c r="M87" s="5" t="n">
        <f aca="false">(INDEX($C$6:$C$15,I87)+INDEX($C$6:$C$15,J87)+INDEX($C$6:$C$15,K87))/3</f>
        <v>0</v>
      </c>
    </row>
    <row r="88" customFormat="false" ht="15" hidden="false" customHeight="false" outlineLevel="0" collapsed="false">
      <c r="H88" s="3" t="n">
        <v>86</v>
      </c>
      <c r="I88" s="3" t="n">
        <v>4</v>
      </c>
      <c r="J88" s="3" t="n">
        <v>5</v>
      </c>
      <c r="K88" s="3" t="n">
        <v>6</v>
      </c>
      <c r="L88" s="3" t="str">
        <f aca="false">INDEX($B$6:$B$15,I88)&amp;", "&amp;INDEX($B$6:$B$15,J88)&amp;", "&amp;INDEX($B$6:$B$15,K88)</f>
        <v>25, 35, 55</v>
      </c>
      <c r="M88" s="5" t="n">
        <f aca="false">(INDEX($C$6:$C$15,I88)+INDEX($C$6:$C$15,J88)+INDEX($C$6:$C$15,K88))/3</f>
        <v>0</v>
      </c>
    </row>
    <row r="89" customFormat="false" ht="15" hidden="false" customHeight="false" outlineLevel="0" collapsed="false">
      <c r="H89" s="3" t="n">
        <v>87</v>
      </c>
      <c r="I89" s="3" t="n">
        <v>4</v>
      </c>
      <c r="J89" s="3" t="n">
        <v>5</v>
      </c>
      <c r="K89" s="3" t="n">
        <v>7</v>
      </c>
      <c r="L89" s="3" t="str">
        <f aca="false">INDEX($B$6:$B$15,I89)&amp;", "&amp;INDEX($B$6:$B$15,J89)&amp;", "&amp;INDEX($B$6:$B$15,K89)</f>
        <v>25, 35, 64</v>
      </c>
      <c r="M89" s="5" t="n">
        <f aca="false">(INDEX($C$6:$C$15,I89)+INDEX($C$6:$C$15,J89)+INDEX($C$6:$C$15,K89))/3</f>
        <v>0</v>
      </c>
    </row>
    <row r="90" customFormat="false" ht="15" hidden="false" customHeight="false" outlineLevel="0" collapsed="false">
      <c r="H90" s="3" t="n">
        <v>88</v>
      </c>
      <c r="I90" s="3" t="n">
        <v>4</v>
      </c>
      <c r="J90" s="3" t="n">
        <v>5</v>
      </c>
      <c r="K90" s="3" t="n">
        <v>8</v>
      </c>
      <c r="L90" s="3" t="str">
        <f aca="false">INDEX($B$6:$B$15,I90)&amp;", "&amp;INDEX($B$6:$B$15,J90)&amp;", "&amp;INDEX($B$6:$B$15,K90)</f>
        <v>25, 35, 65</v>
      </c>
      <c r="M90" s="5" t="n">
        <f aca="false">(INDEX($C$6:$C$15,I90)+INDEX($C$6:$C$15,J90)+INDEX($C$6:$C$15,K90))/3</f>
        <v>0</v>
      </c>
    </row>
    <row r="91" customFormat="false" ht="15" hidden="false" customHeight="false" outlineLevel="0" collapsed="false">
      <c r="H91" s="3" t="n">
        <v>89</v>
      </c>
      <c r="I91" s="3" t="n">
        <v>4</v>
      </c>
      <c r="J91" s="3" t="n">
        <v>5</v>
      </c>
      <c r="K91" s="3" t="n">
        <v>9</v>
      </c>
      <c r="L91" s="3" t="str">
        <f aca="false">INDEX($B$6:$B$15,I91)&amp;", "&amp;INDEX($B$6:$B$15,J91)&amp;", "&amp;INDEX($B$6:$B$15,K91)</f>
        <v>25, 35, 72</v>
      </c>
      <c r="M91" s="5" t="n">
        <f aca="false">(INDEX($C$6:$C$15,I91)+INDEX($C$6:$C$15,J91)+INDEX($C$6:$C$15,K91))/3</f>
        <v>0</v>
      </c>
    </row>
    <row r="92" customFormat="false" ht="15" hidden="false" customHeight="false" outlineLevel="0" collapsed="false">
      <c r="H92" s="3" t="n">
        <v>90</v>
      </c>
      <c r="I92" s="3" t="n">
        <v>4</v>
      </c>
      <c r="J92" s="3" t="n">
        <v>5</v>
      </c>
      <c r="K92" s="3" t="n">
        <v>10</v>
      </c>
      <c r="L92" s="3" t="str">
        <f aca="false">INDEX($B$6:$B$15,I92)&amp;", "&amp;INDEX($B$6:$B$15,J92)&amp;", "&amp;INDEX($B$6:$B$15,K92)</f>
        <v>25, 35, 85</v>
      </c>
      <c r="M92" s="5" t="n">
        <f aca="false">(INDEX($C$6:$C$15,I92)+INDEX($C$6:$C$15,J92)+INDEX($C$6:$C$15,K92))/3</f>
        <v>0</v>
      </c>
    </row>
    <row r="93" customFormat="false" ht="15" hidden="false" customHeight="false" outlineLevel="0" collapsed="false">
      <c r="H93" s="3" t="n">
        <v>91</v>
      </c>
      <c r="I93" s="3" t="n">
        <v>4</v>
      </c>
      <c r="J93" s="3" t="n">
        <v>6</v>
      </c>
      <c r="K93" s="3" t="n">
        <v>7</v>
      </c>
      <c r="L93" s="3" t="str">
        <f aca="false">INDEX($B$6:$B$15,I93)&amp;", "&amp;INDEX($B$6:$B$15,J93)&amp;", "&amp;INDEX($B$6:$B$15,K93)</f>
        <v>25, 55, 64</v>
      </c>
      <c r="M93" s="5" t="n">
        <f aca="false">(INDEX($C$6:$C$15,I93)+INDEX($C$6:$C$15,J93)+INDEX($C$6:$C$15,K93))/3</f>
        <v>0</v>
      </c>
    </row>
    <row r="94" customFormat="false" ht="15" hidden="false" customHeight="false" outlineLevel="0" collapsed="false">
      <c r="H94" s="3" t="n">
        <v>92</v>
      </c>
      <c r="I94" s="3" t="n">
        <v>4</v>
      </c>
      <c r="J94" s="3" t="n">
        <v>6</v>
      </c>
      <c r="K94" s="3" t="n">
        <v>8</v>
      </c>
      <c r="L94" s="3" t="str">
        <f aca="false">INDEX($B$6:$B$15,I94)&amp;", "&amp;INDEX($B$6:$B$15,J94)&amp;", "&amp;INDEX($B$6:$B$15,K94)</f>
        <v>25, 55, 65</v>
      </c>
      <c r="M94" s="5" t="n">
        <f aca="false">(INDEX($C$6:$C$15,I94)+INDEX($C$6:$C$15,J94)+INDEX($C$6:$C$15,K94))/3</f>
        <v>0</v>
      </c>
    </row>
    <row r="95" customFormat="false" ht="15" hidden="false" customHeight="false" outlineLevel="0" collapsed="false">
      <c r="H95" s="3" t="n">
        <v>93</v>
      </c>
      <c r="I95" s="3" t="n">
        <v>4</v>
      </c>
      <c r="J95" s="3" t="n">
        <v>6</v>
      </c>
      <c r="K95" s="3" t="n">
        <v>9</v>
      </c>
      <c r="L95" s="3" t="str">
        <f aca="false">INDEX($B$6:$B$15,I95)&amp;", "&amp;INDEX($B$6:$B$15,J95)&amp;", "&amp;INDEX($B$6:$B$15,K95)</f>
        <v>25, 55, 72</v>
      </c>
      <c r="M95" s="5" t="n">
        <f aca="false">(INDEX($C$6:$C$15,I95)+INDEX($C$6:$C$15,J95)+INDEX($C$6:$C$15,K95))/3</f>
        <v>0</v>
      </c>
    </row>
    <row r="96" customFormat="false" ht="15" hidden="false" customHeight="false" outlineLevel="0" collapsed="false">
      <c r="H96" s="3" t="n">
        <v>94</v>
      </c>
      <c r="I96" s="3" t="n">
        <v>4</v>
      </c>
      <c r="J96" s="3" t="n">
        <v>6</v>
      </c>
      <c r="K96" s="3" t="n">
        <v>10</v>
      </c>
      <c r="L96" s="3" t="str">
        <f aca="false">INDEX($B$6:$B$15,I96)&amp;", "&amp;INDEX($B$6:$B$15,J96)&amp;", "&amp;INDEX($B$6:$B$15,K96)</f>
        <v>25, 55, 85</v>
      </c>
      <c r="M96" s="5" t="n">
        <f aca="false">(INDEX($C$6:$C$15,I96)+INDEX($C$6:$C$15,J96)+INDEX($C$6:$C$15,K96))/3</f>
        <v>0</v>
      </c>
    </row>
    <row r="97" customFormat="false" ht="15" hidden="false" customHeight="false" outlineLevel="0" collapsed="false">
      <c r="H97" s="3" t="n">
        <v>95</v>
      </c>
      <c r="I97" s="3" t="n">
        <v>4</v>
      </c>
      <c r="J97" s="3" t="n">
        <v>7</v>
      </c>
      <c r="K97" s="3" t="n">
        <v>8</v>
      </c>
      <c r="L97" s="3" t="str">
        <f aca="false">INDEX($B$6:$B$15,I97)&amp;", "&amp;INDEX($B$6:$B$15,J97)&amp;", "&amp;INDEX($B$6:$B$15,K97)</f>
        <v>25, 64, 65</v>
      </c>
      <c r="M97" s="5" t="n">
        <f aca="false">(INDEX($C$6:$C$15,I97)+INDEX($C$6:$C$15,J97)+INDEX($C$6:$C$15,K97))/3</f>
        <v>0</v>
      </c>
    </row>
    <row r="98" customFormat="false" ht="15" hidden="false" customHeight="false" outlineLevel="0" collapsed="false">
      <c r="H98" s="3" t="n">
        <v>96</v>
      </c>
      <c r="I98" s="3" t="n">
        <v>4</v>
      </c>
      <c r="J98" s="3" t="n">
        <v>7</v>
      </c>
      <c r="K98" s="3" t="n">
        <v>9</v>
      </c>
      <c r="L98" s="3" t="str">
        <f aca="false">INDEX($B$6:$B$15,I98)&amp;", "&amp;INDEX($B$6:$B$15,J98)&amp;", "&amp;INDEX($B$6:$B$15,K98)</f>
        <v>25, 64, 72</v>
      </c>
      <c r="M98" s="5" t="n">
        <f aca="false">(INDEX($C$6:$C$15,I98)+INDEX($C$6:$C$15,J98)+INDEX($C$6:$C$15,K98))/3</f>
        <v>0</v>
      </c>
    </row>
    <row r="99" customFormat="false" ht="15" hidden="false" customHeight="false" outlineLevel="0" collapsed="false">
      <c r="H99" s="3" t="n">
        <v>97</v>
      </c>
      <c r="I99" s="3" t="n">
        <v>4</v>
      </c>
      <c r="J99" s="3" t="n">
        <v>7</v>
      </c>
      <c r="K99" s="3" t="n">
        <v>10</v>
      </c>
      <c r="L99" s="3" t="str">
        <f aca="false">INDEX($B$6:$B$15,I99)&amp;", "&amp;INDEX($B$6:$B$15,J99)&amp;", "&amp;INDEX($B$6:$B$15,K99)</f>
        <v>25, 64, 85</v>
      </c>
      <c r="M99" s="5" t="n">
        <f aca="false">(INDEX($C$6:$C$15,I99)+INDEX($C$6:$C$15,J99)+INDEX($C$6:$C$15,K99))/3</f>
        <v>0</v>
      </c>
    </row>
    <row r="100" customFormat="false" ht="15" hidden="false" customHeight="false" outlineLevel="0" collapsed="false">
      <c r="H100" s="3" t="n">
        <v>98</v>
      </c>
      <c r="I100" s="3" t="n">
        <v>4</v>
      </c>
      <c r="J100" s="3" t="n">
        <v>8</v>
      </c>
      <c r="K100" s="3" t="n">
        <v>9</v>
      </c>
      <c r="L100" s="3" t="str">
        <f aca="false">INDEX($B$6:$B$15,I100)&amp;", "&amp;INDEX($B$6:$B$15,J100)&amp;", "&amp;INDEX($B$6:$B$15,K100)</f>
        <v>25, 65, 72</v>
      </c>
      <c r="M100" s="5" t="n">
        <f aca="false">(INDEX($C$6:$C$15,I100)+INDEX($C$6:$C$15,J100)+INDEX($C$6:$C$15,K100))/3</f>
        <v>0</v>
      </c>
    </row>
    <row r="101" customFormat="false" ht="15" hidden="false" customHeight="false" outlineLevel="0" collapsed="false">
      <c r="H101" s="3" t="n">
        <v>99</v>
      </c>
      <c r="I101" s="3" t="n">
        <v>4</v>
      </c>
      <c r="J101" s="3" t="n">
        <v>8</v>
      </c>
      <c r="K101" s="3" t="n">
        <v>10</v>
      </c>
      <c r="L101" s="3" t="str">
        <f aca="false">INDEX($B$6:$B$15,I101)&amp;", "&amp;INDEX($B$6:$B$15,J101)&amp;", "&amp;INDEX($B$6:$B$15,K101)</f>
        <v>25, 65, 85</v>
      </c>
      <c r="M101" s="5" t="n">
        <f aca="false">(INDEX($C$6:$C$15,I101)+INDEX($C$6:$C$15,J101)+INDEX($C$6:$C$15,K101))/3</f>
        <v>0</v>
      </c>
    </row>
    <row r="102" customFormat="false" ht="15" hidden="false" customHeight="false" outlineLevel="0" collapsed="false">
      <c r="H102" s="3" t="n">
        <v>100</v>
      </c>
      <c r="I102" s="3" t="n">
        <v>4</v>
      </c>
      <c r="J102" s="3" t="n">
        <v>9</v>
      </c>
      <c r="K102" s="3" t="n">
        <v>10</v>
      </c>
      <c r="L102" s="3" t="str">
        <f aca="false">INDEX($B$6:$B$15,I102)&amp;", "&amp;INDEX($B$6:$B$15,J102)&amp;", "&amp;INDEX($B$6:$B$15,K102)</f>
        <v>25, 72, 85</v>
      </c>
      <c r="M102" s="5" t="n">
        <f aca="false">(INDEX($C$6:$C$15,I102)+INDEX($C$6:$C$15,J102)+INDEX($C$6:$C$15,K102))/3</f>
        <v>0</v>
      </c>
    </row>
    <row r="103" customFormat="false" ht="15" hidden="false" customHeight="false" outlineLevel="0" collapsed="false">
      <c r="H103" s="3" t="n">
        <v>101</v>
      </c>
      <c r="I103" s="3" t="n">
        <v>5</v>
      </c>
      <c r="J103" s="3" t="n">
        <v>6</v>
      </c>
      <c r="K103" s="3" t="n">
        <v>7</v>
      </c>
      <c r="L103" s="3" t="str">
        <f aca="false">INDEX($B$6:$B$15,I103)&amp;", "&amp;INDEX($B$6:$B$15,J103)&amp;", "&amp;INDEX($B$6:$B$15,K103)</f>
        <v>35, 55, 64</v>
      </c>
      <c r="M103" s="5" t="n">
        <f aca="false">(INDEX($C$6:$C$15,I103)+INDEX($C$6:$C$15,J103)+INDEX($C$6:$C$15,K103))/3</f>
        <v>0</v>
      </c>
    </row>
    <row r="104" customFormat="false" ht="15" hidden="false" customHeight="false" outlineLevel="0" collapsed="false">
      <c r="H104" s="3" t="n">
        <v>102</v>
      </c>
      <c r="I104" s="3" t="n">
        <v>5</v>
      </c>
      <c r="J104" s="3" t="n">
        <v>6</v>
      </c>
      <c r="K104" s="3" t="n">
        <v>8</v>
      </c>
      <c r="L104" s="3" t="str">
        <f aca="false">INDEX($B$6:$B$15,I104)&amp;", "&amp;INDEX($B$6:$B$15,J104)&amp;", "&amp;INDEX($B$6:$B$15,K104)</f>
        <v>35, 55, 65</v>
      </c>
      <c r="M104" s="5" t="n">
        <f aca="false">(INDEX($C$6:$C$15,I104)+INDEX($C$6:$C$15,J104)+INDEX($C$6:$C$15,K104))/3</f>
        <v>0</v>
      </c>
    </row>
    <row r="105" customFormat="false" ht="15" hidden="false" customHeight="false" outlineLevel="0" collapsed="false">
      <c r="H105" s="3" t="n">
        <v>103</v>
      </c>
      <c r="I105" s="3" t="n">
        <v>5</v>
      </c>
      <c r="J105" s="3" t="n">
        <v>6</v>
      </c>
      <c r="K105" s="3" t="n">
        <v>9</v>
      </c>
      <c r="L105" s="3" t="str">
        <f aca="false">INDEX($B$6:$B$15,I105)&amp;", "&amp;INDEX($B$6:$B$15,J105)&amp;", "&amp;INDEX($B$6:$B$15,K105)</f>
        <v>35, 55, 72</v>
      </c>
      <c r="M105" s="5" t="n">
        <f aca="false">(INDEX($C$6:$C$15,I105)+INDEX($C$6:$C$15,J105)+INDEX($C$6:$C$15,K105))/3</f>
        <v>0</v>
      </c>
    </row>
    <row r="106" customFormat="false" ht="15" hidden="false" customHeight="false" outlineLevel="0" collapsed="false">
      <c r="H106" s="3" t="n">
        <v>104</v>
      </c>
      <c r="I106" s="3" t="n">
        <v>5</v>
      </c>
      <c r="J106" s="3" t="n">
        <v>6</v>
      </c>
      <c r="K106" s="3" t="n">
        <v>10</v>
      </c>
      <c r="L106" s="3" t="str">
        <f aca="false">INDEX($B$6:$B$15,I106)&amp;", "&amp;INDEX($B$6:$B$15,J106)&amp;", "&amp;INDEX($B$6:$B$15,K106)</f>
        <v>35, 55, 85</v>
      </c>
      <c r="M106" s="5" t="n">
        <f aca="false">(INDEX($C$6:$C$15,I106)+INDEX($C$6:$C$15,J106)+INDEX($C$6:$C$15,K106))/3</f>
        <v>0</v>
      </c>
    </row>
    <row r="107" customFormat="false" ht="15" hidden="false" customHeight="false" outlineLevel="0" collapsed="false">
      <c r="H107" s="3" t="n">
        <v>105</v>
      </c>
      <c r="I107" s="3" t="n">
        <v>5</v>
      </c>
      <c r="J107" s="3" t="n">
        <v>7</v>
      </c>
      <c r="K107" s="3" t="n">
        <v>8</v>
      </c>
      <c r="L107" s="3" t="str">
        <f aca="false">INDEX($B$6:$B$15,I107)&amp;", "&amp;INDEX($B$6:$B$15,J107)&amp;", "&amp;INDEX($B$6:$B$15,K107)</f>
        <v>35, 64, 65</v>
      </c>
      <c r="M107" s="5" t="n">
        <f aca="false">(INDEX($C$6:$C$15,I107)+INDEX($C$6:$C$15,J107)+INDEX($C$6:$C$15,K107))/3</f>
        <v>0</v>
      </c>
    </row>
    <row r="108" customFormat="false" ht="15" hidden="false" customHeight="false" outlineLevel="0" collapsed="false">
      <c r="H108" s="3" t="n">
        <v>106</v>
      </c>
      <c r="I108" s="3" t="n">
        <v>5</v>
      </c>
      <c r="J108" s="3" t="n">
        <v>7</v>
      </c>
      <c r="K108" s="3" t="n">
        <v>9</v>
      </c>
      <c r="L108" s="3" t="str">
        <f aca="false">INDEX($B$6:$B$15,I108)&amp;", "&amp;INDEX($B$6:$B$15,J108)&amp;", "&amp;INDEX($B$6:$B$15,K108)</f>
        <v>35, 64, 72</v>
      </c>
      <c r="M108" s="5" t="n">
        <f aca="false">(INDEX($C$6:$C$15,I108)+INDEX($C$6:$C$15,J108)+INDEX($C$6:$C$15,K108))/3</f>
        <v>0</v>
      </c>
    </row>
    <row r="109" customFormat="false" ht="15" hidden="false" customHeight="false" outlineLevel="0" collapsed="false">
      <c r="H109" s="3" t="n">
        <v>107</v>
      </c>
      <c r="I109" s="3" t="n">
        <v>5</v>
      </c>
      <c r="J109" s="3" t="n">
        <v>7</v>
      </c>
      <c r="K109" s="3" t="n">
        <v>10</v>
      </c>
      <c r="L109" s="3" t="str">
        <f aca="false">INDEX($B$6:$B$15,I109)&amp;", "&amp;INDEX($B$6:$B$15,J109)&amp;", "&amp;INDEX($B$6:$B$15,K109)</f>
        <v>35, 64, 85</v>
      </c>
      <c r="M109" s="5" t="n">
        <f aca="false">(INDEX($C$6:$C$15,I109)+INDEX($C$6:$C$15,J109)+INDEX($C$6:$C$15,K109))/3</f>
        <v>0</v>
      </c>
    </row>
    <row r="110" customFormat="false" ht="15" hidden="false" customHeight="false" outlineLevel="0" collapsed="false">
      <c r="H110" s="3" t="n">
        <v>108</v>
      </c>
      <c r="I110" s="3" t="n">
        <v>5</v>
      </c>
      <c r="J110" s="3" t="n">
        <v>8</v>
      </c>
      <c r="K110" s="3" t="n">
        <v>9</v>
      </c>
      <c r="L110" s="3" t="str">
        <f aca="false">INDEX($B$6:$B$15,I110)&amp;", "&amp;INDEX($B$6:$B$15,J110)&amp;", "&amp;INDEX($B$6:$B$15,K110)</f>
        <v>35, 65, 72</v>
      </c>
      <c r="M110" s="5" t="n">
        <f aca="false">(INDEX($C$6:$C$15,I110)+INDEX($C$6:$C$15,J110)+INDEX($C$6:$C$15,K110))/3</f>
        <v>0</v>
      </c>
    </row>
    <row r="111" customFormat="false" ht="15" hidden="false" customHeight="false" outlineLevel="0" collapsed="false">
      <c r="H111" s="3" t="n">
        <v>109</v>
      </c>
      <c r="I111" s="3" t="n">
        <v>5</v>
      </c>
      <c r="J111" s="3" t="n">
        <v>8</v>
      </c>
      <c r="K111" s="3" t="n">
        <v>10</v>
      </c>
      <c r="L111" s="3" t="str">
        <f aca="false">INDEX($B$6:$B$15,I111)&amp;", "&amp;INDEX($B$6:$B$15,J111)&amp;", "&amp;INDEX($B$6:$B$15,K111)</f>
        <v>35, 65, 85</v>
      </c>
      <c r="M111" s="5" t="n">
        <f aca="false">(INDEX($C$6:$C$15,I111)+INDEX($C$6:$C$15,J111)+INDEX($C$6:$C$15,K111))/3</f>
        <v>0</v>
      </c>
    </row>
    <row r="112" customFormat="false" ht="15" hidden="false" customHeight="false" outlineLevel="0" collapsed="false">
      <c r="H112" s="3" t="n">
        <v>110</v>
      </c>
      <c r="I112" s="3" t="n">
        <v>5</v>
      </c>
      <c r="J112" s="3" t="n">
        <v>9</v>
      </c>
      <c r="K112" s="3" t="n">
        <v>10</v>
      </c>
      <c r="L112" s="3" t="str">
        <f aca="false">INDEX($B$6:$B$15,I112)&amp;", "&amp;INDEX($B$6:$B$15,J112)&amp;", "&amp;INDEX($B$6:$B$15,K112)</f>
        <v>35, 72, 85</v>
      </c>
      <c r="M112" s="5" t="n">
        <f aca="false">(INDEX($C$6:$C$15,I112)+INDEX($C$6:$C$15,J112)+INDEX($C$6:$C$15,K112))/3</f>
        <v>0</v>
      </c>
    </row>
    <row r="113" customFormat="false" ht="15" hidden="false" customHeight="false" outlineLevel="0" collapsed="false">
      <c r="H113" s="3" t="n">
        <v>111</v>
      </c>
      <c r="I113" s="3" t="n">
        <v>6</v>
      </c>
      <c r="J113" s="3" t="n">
        <v>7</v>
      </c>
      <c r="K113" s="3" t="n">
        <v>8</v>
      </c>
      <c r="L113" s="3" t="str">
        <f aca="false">INDEX($B$6:$B$15,I113)&amp;", "&amp;INDEX($B$6:$B$15,J113)&amp;", "&amp;INDEX($B$6:$B$15,K113)</f>
        <v>55, 64, 65</v>
      </c>
      <c r="M113" s="5" t="n">
        <f aca="false">(INDEX($C$6:$C$15,I113)+INDEX($C$6:$C$15,J113)+INDEX($C$6:$C$15,K113))/3</f>
        <v>0</v>
      </c>
    </row>
    <row r="114" customFormat="false" ht="15" hidden="false" customHeight="false" outlineLevel="0" collapsed="false">
      <c r="H114" s="3" t="n">
        <v>112</v>
      </c>
      <c r="I114" s="3" t="n">
        <v>6</v>
      </c>
      <c r="J114" s="3" t="n">
        <v>7</v>
      </c>
      <c r="K114" s="3" t="n">
        <v>9</v>
      </c>
      <c r="L114" s="3" t="str">
        <f aca="false">INDEX($B$6:$B$15,I114)&amp;", "&amp;INDEX($B$6:$B$15,J114)&amp;", "&amp;INDEX($B$6:$B$15,K114)</f>
        <v>55, 64, 72</v>
      </c>
      <c r="M114" s="5" t="n">
        <f aca="false">(INDEX($C$6:$C$15,I114)+INDEX($C$6:$C$15,J114)+INDEX($C$6:$C$15,K114))/3</f>
        <v>0</v>
      </c>
    </row>
    <row r="115" customFormat="false" ht="15" hidden="false" customHeight="false" outlineLevel="0" collapsed="false">
      <c r="H115" s="3" t="n">
        <v>113</v>
      </c>
      <c r="I115" s="3" t="n">
        <v>6</v>
      </c>
      <c r="J115" s="3" t="n">
        <v>7</v>
      </c>
      <c r="K115" s="3" t="n">
        <v>10</v>
      </c>
      <c r="L115" s="3" t="str">
        <f aca="false">INDEX($B$6:$B$15,I115)&amp;", "&amp;INDEX($B$6:$B$15,J115)&amp;", "&amp;INDEX($B$6:$B$15,K115)</f>
        <v>55, 64, 85</v>
      </c>
      <c r="M115" s="5" t="n">
        <f aca="false">(INDEX($C$6:$C$15,I115)+INDEX($C$6:$C$15,J115)+INDEX($C$6:$C$15,K115))/3</f>
        <v>0</v>
      </c>
    </row>
    <row r="116" customFormat="false" ht="15" hidden="false" customHeight="false" outlineLevel="0" collapsed="false">
      <c r="H116" s="3" t="n">
        <v>114</v>
      </c>
      <c r="I116" s="3" t="n">
        <v>6</v>
      </c>
      <c r="J116" s="3" t="n">
        <v>8</v>
      </c>
      <c r="K116" s="3" t="n">
        <v>9</v>
      </c>
      <c r="L116" s="3" t="str">
        <f aca="false">INDEX($B$6:$B$15,I116)&amp;", "&amp;INDEX($B$6:$B$15,J116)&amp;", "&amp;INDEX($B$6:$B$15,K116)</f>
        <v>55, 65, 72</v>
      </c>
      <c r="M116" s="5" t="n">
        <f aca="false">(INDEX($C$6:$C$15,I116)+INDEX($C$6:$C$15,J116)+INDEX($C$6:$C$15,K116))/3</f>
        <v>0</v>
      </c>
    </row>
    <row r="117" customFormat="false" ht="15" hidden="false" customHeight="false" outlineLevel="0" collapsed="false">
      <c r="H117" s="3" t="n">
        <v>115</v>
      </c>
      <c r="I117" s="3" t="n">
        <v>6</v>
      </c>
      <c r="J117" s="3" t="n">
        <v>8</v>
      </c>
      <c r="K117" s="3" t="n">
        <v>10</v>
      </c>
      <c r="L117" s="3" t="str">
        <f aca="false">INDEX($B$6:$B$15,I117)&amp;", "&amp;INDEX($B$6:$B$15,J117)&amp;", "&amp;INDEX($B$6:$B$15,K117)</f>
        <v>55, 65, 85</v>
      </c>
      <c r="M117" s="5" t="n">
        <f aca="false">(INDEX($C$6:$C$15,I117)+INDEX($C$6:$C$15,J117)+INDEX($C$6:$C$15,K117))/3</f>
        <v>0</v>
      </c>
    </row>
    <row r="118" customFormat="false" ht="15" hidden="false" customHeight="false" outlineLevel="0" collapsed="false">
      <c r="H118" s="3" t="n">
        <v>116</v>
      </c>
      <c r="I118" s="3" t="n">
        <v>6</v>
      </c>
      <c r="J118" s="3" t="n">
        <v>9</v>
      </c>
      <c r="K118" s="3" t="n">
        <v>10</v>
      </c>
      <c r="L118" s="3" t="str">
        <f aca="false">INDEX($B$6:$B$15,I118)&amp;", "&amp;INDEX($B$6:$B$15,J118)&amp;", "&amp;INDEX($B$6:$B$15,K118)</f>
        <v>55, 72, 85</v>
      </c>
      <c r="M118" s="5" t="n">
        <f aca="false">(INDEX($C$6:$C$15,I118)+INDEX($C$6:$C$15,J118)+INDEX($C$6:$C$15,K118))/3</f>
        <v>0</v>
      </c>
    </row>
    <row r="119" customFormat="false" ht="15" hidden="false" customHeight="false" outlineLevel="0" collapsed="false">
      <c r="H119" s="3" t="n">
        <v>117</v>
      </c>
      <c r="I119" s="3" t="n">
        <v>7</v>
      </c>
      <c r="J119" s="3" t="n">
        <v>8</v>
      </c>
      <c r="K119" s="3" t="n">
        <v>9</v>
      </c>
      <c r="L119" s="3" t="str">
        <f aca="false">INDEX($B$6:$B$15,I119)&amp;", "&amp;INDEX($B$6:$B$15,J119)&amp;", "&amp;INDEX($B$6:$B$15,K119)</f>
        <v>64, 65, 72</v>
      </c>
      <c r="M119" s="5" t="n">
        <f aca="false">(INDEX($C$6:$C$15,I119)+INDEX($C$6:$C$15,J119)+INDEX($C$6:$C$15,K119))/3</f>
        <v>0</v>
      </c>
    </row>
    <row r="120" customFormat="false" ht="15" hidden="false" customHeight="false" outlineLevel="0" collapsed="false">
      <c r="H120" s="3" t="n">
        <v>118</v>
      </c>
      <c r="I120" s="3" t="n">
        <v>7</v>
      </c>
      <c r="J120" s="3" t="n">
        <v>8</v>
      </c>
      <c r="K120" s="3" t="n">
        <v>10</v>
      </c>
      <c r="L120" s="3" t="str">
        <f aca="false">INDEX($B$6:$B$15,I120)&amp;", "&amp;INDEX($B$6:$B$15,J120)&amp;", "&amp;INDEX($B$6:$B$15,K120)</f>
        <v>64, 65, 85</v>
      </c>
      <c r="M120" s="5" t="n">
        <f aca="false">(INDEX($C$6:$C$15,I120)+INDEX($C$6:$C$15,J120)+INDEX($C$6:$C$15,K120))/3</f>
        <v>0</v>
      </c>
    </row>
    <row r="121" customFormat="false" ht="15" hidden="false" customHeight="false" outlineLevel="0" collapsed="false">
      <c r="H121" s="3" t="n">
        <v>119</v>
      </c>
      <c r="I121" s="3" t="n">
        <v>7</v>
      </c>
      <c r="J121" s="3" t="n">
        <v>9</v>
      </c>
      <c r="K121" s="3" t="n">
        <v>10</v>
      </c>
      <c r="L121" s="3" t="str">
        <f aca="false">INDEX($B$6:$B$15,I121)&amp;", "&amp;INDEX($B$6:$B$15,J121)&amp;", "&amp;INDEX($B$6:$B$15,K121)</f>
        <v>64, 72, 85</v>
      </c>
      <c r="M121" s="5" t="n">
        <f aca="false">(INDEX($C$6:$C$15,I121)+INDEX($C$6:$C$15,J121)+INDEX($C$6:$C$15,K121))/3</f>
        <v>0</v>
      </c>
    </row>
    <row r="122" customFormat="false" ht="15" hidden="false" customHeight="false" outlineLevel="0" collapsed="false">
      <c r="H122" s="3" t="n">
        <v>120</v>
      </c>
      <c r="I122" s="3" t="n">
        <v>8</v>
      </c>
      <c r="J122" s="3" t="n">
        <v>9</v>
      </c>
      <c r="K122" s="3" t="n">
        <v>10</v>
      </c>
      <c r="L122" s="3" t="str">
        <f aca="false">INDEX($B$6:$B$15,I122)&amp;", "&amp;INDEX($B$6:$B$15,J122)&amp;", "&amp;INDEX($B$6:$B$15,K122)</f>
        <v>65, 72, 85</v>
      </c>
      <c r="M122" s="5" t="n">
        <f aca="false">(INDEX($C$6:$C$15,I122)+INDEX($C$6:$C$15,J122)+INDEX($C$6:$C$15,K122))/3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2026-10-24T09:10:34Z</dcterms:created>
  <dc:creator>openpyxl</dc:creator>
  <dc:description/>
  <dc:language>en-US</dc:language>
  <cp:lastModifiedBy/>
  <dcterms:modified xsi:type="dcterms:W3CDTF">2026-10-24T09:10:34Z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