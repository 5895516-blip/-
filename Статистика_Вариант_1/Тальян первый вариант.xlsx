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а 1" sheetId="1" state="visible" r:id="rId3"/>
    <sheet name="Задача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<sst xmlns="http://schemas.openxmlformats.org/spreadsheetml/2006/main" count="27" uniqueCount="24">
  <si>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Тальян Антон, вариант 1</t>
  </si>
  <si>
    <t xml:space="preserve">Задача 1</t>
  </si>
  <si>
    <t xml:space="preserve">N</t>
  </si>
  <si>
    <t xml:space="preserve">n</t>
  </si>
  <si>
    <t xml:space="preserve">старт</t>
  </si>
  <si>
    <t xml:space="preserve">число</t>
  </si>
  <si>
    <t xml:space="preserve">номер</t>
  </si>
  <si>
    <t xml:space="preserve">повтор</t>
  </si>
  <si>
    <t xml:space="preserve">в выборку</t>
  </si>
  <si>
    <t xml:space="preserve">выборка</t>
  </si>
  <si>
    <t xml:space="preserve">Задача 2</t>
  </si>
  <si>
    <t xml:space="preserve">выборки</t>
  </si>
  <si>
    <t xml:space="preserve">средняя</t>
  </si>
  <si>
    <t xml:space="preserve">колонка 14 - прибыль от реализации продукции, млн руб.</t>
  </si>
  <si>
    <t xml:space="preserve">предприятие</t>
  </si>
  <si>
    <t xml:space="preserve">значение</t>
  </si>
  <si>
    <t xml:space="preserve">сумма</t>
  </si>
  <si>
    <t xml:space="preserve">Хср</t>
  </si>
  <si>
    <t xml:space="preserve">сочетаний</t>
  </si>
  <si>
    <t xml:space="preserve">цифра</t>
  </si>
  <si>
    <t xml:space="preserve">№ п/п</t>
  </si>
  <si>
    <t xml:space="preserve">хср</t>
  </si>
  <si>
    <t xml:space="preserve">хср - Хср</t>
  </si>
  <si>
    <t xml:space="preserve">M(хср)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</si>
</sst>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"/>
    <numFmt numFmtId="166" formatCode="General"/>
    <numFmt numFmtId="167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  <c r="B4" s="0" t="n">
        <v>100</v>
      </c>
    </row>
    <row r="5" customFormat="false" ht="15" hidden="false" customHeight="false" outlineLevel="0" collapsed="false">
      <c r="A5" s="0" t="s">
        <v>3</v>
      </c>
      <c r="B5" s="0" t="n">
        <f aca="false">B4*10%</f>
        <v>10</v>
      </c>
    </row>
    <row r="7" customFormat="false" ht="15" hidden="false" customHeight="false" outlineLevel="0" collapsed="false">
      <c r="A7" s="0" t="n">
        <v>1</v>
      </c>
      <c r="B7" s="0" t="n">
        <v>2</v>
      </c>
      <c r="C7" s="0" t="n">
        <v>3</v>
      </c>
      <c r="D7" s="0" t="n">
        <v>4</v>
      </c>
      <c r="E7" s="0" t="n">
        <v>5</v>
      </c>
      <c r="F7" s="0" t="n">
        <v>6</v>
      </c>
      <c r="G7" s="0" t="n">
        <v>7</v>
      </c>
    </row>
    <row r="8" customFormat="false" ht="15" hidden="false" customHeight="false" outlineLevel="0" collapsed="false">
      <c r="A8" s="1" t="n">
        <v>6955</v>
      </c>
      <c r="B8" s="1" t="n">
        <v>6141</v>
      </c>
      <c r="C8" s="1" t="n">
        <v>9951</v>
      </c>
      <c r="D8" s="1" t="n">
        <v>3439</v>
      </c>
      <c r="E8" s="1" t="n">
        <v>590</v>
      </c>
      <c r="F8" s="1" t="n">
        <v>8376</v>
      </c>
      <c r="G8" s="1" t="n">
        <v>5585</v>
      </c>
    </row>
    <row r="9" customFormat="false" ht="15" hidden="false" customHeight="false" outlineLevel="0" collapsed="false">
      <c r="A9" s="1" t="n">
        <v>4877</v>
      </c>
      <c r="B9" s="1" t="n">
        <v>2580</v>
      </c>
      <c r="C9" s="1" t="n">
        <v>6212</v>
      </c>
      <c r="D9" s="1" t="n">
        <v>1359</v>
      </c>
      <c r="E9" s="1" t="n">
        <v>1053</v>
      </c>
      <c r="F9" s="1" t="n">
        <v>8073</v>
      </c>
      <c r="G9" s="1" t="n">
        <v>2121</v>
      </c>
    </row>
    <row r="10" customFormat="false" ht="15" hidden="false" customHeight="false" outlineLevel="0" collapsed="false">
      <c r="A10" s="1" t="n">
        <v>4591</v>
      </c>
      <c r="B10" s="1" t="n">
        <v>5575</v>
      </c>
      <c r="C10" s="1" t="n">
        <v>7851</v>
      </c>
      <c r="D10" s="1" t="n">
        <v>884</v>
      </c>
      <c r="E10" s="1" t="n">
        <v>2869</v>
      </c>
      <c r="F10" s="1" t="n">
        <v>4514</v>
      </c>
      <c r="G10" s="1" t="n">
        <v>672</v>
      </c>
    </row>
    <row r="11" customFormat="false" ht="15" hidden="false" customHeight="false" outlineLevel="0" collapsed="false">
      <c r="A11" s="1" t="n">
        <v>9378</v>
      </c>
      <c r="B11" s="1" t="n">
        <v>2205</v>
      </c>
      <c r="C11" s="1" t="n">
        <v>4373</v>
      </c>
      <c r="D11" s="1" t="n">
        <v>9690</v>
      </c>
      <c r="E11" s="1" t="n">
        <v>4018</v>
      </c>
      <c r="F11" s="1" t="n">
        <v>9670</v>
      </c>
      <c r="G11" s="1" t="n">
        <v>5164</v>
      </c>
    </row>
    <row r="12" customFormat="false" ht="15" hidden="false" customHeight="false" outlineLevel="0" collapsed="false">
      <c r="A12" s="1" t="n">
        <v>1578</v>
      </c>
      <c r="B12" s="1" t="n">
        <v>247</v>
      </c>
      <c r="C12" s="1" t="n">
        <v>9108</v>
      </c>
      <c r="D12" s="1" t="n">
        <v>8830</v>
      </c>
      <c r="E12" s="1" t="n">
        <v>8485</v>
      </c>
      <c r="F12" s="1" t="n">
        <v>5948</v>
      </c>
      <c r="G12" s="1" t="n">
        <v>3325</v>
      </c>
    </row>
    <row r="13" customFormat="false" ht="15" hidden="false" customHeight="false" outlineLevel="0" collapsed="false">
      <c r="A13" s="1" t="n">
        <v>5597</v>
      </c>
      <c r="B13" s="1" t="n">
        <v>2216</v>
      </c>
      <c r="C13" s="1" t="n">
        <v>1203</v>
      </c>
      <c r="D13" s="1" t="n">
        <v>9897</v>
      </c>
      <c r="E13" s="1" t="n">
        <v>6086</v>
      </c>
      <c r="F13" s="1" t="n">
        <v>6916</v>
      </c>
      <c r="G13" s="1" t="n">
        <v>3135</v>
      </c>
    </row>
    <row r="14" customFormat="false" ht="15" hidden="false" customHeight="false" outlineLevel="0" collapsed="false">
      <c r="A14" s="1" t="n">
        <v>8773</v>
      </c>
      <c r="B14" s="1" t="n">
        <v>2443</v>
      </c>
      <c r="C14" s="1" t="n">
        <v>6686</v>
      </c>
      <c r="D14" s="1" t="n">
        <v>926</v>
      </c>
      <c r="E14" s="1" t="n">
        <v>9329</v>
      </c>
      <c r="F14" s="1" t="n">
        <v>8220</v>
      </c>
      <c r="G14" s="1" t="n">
        <v>865</v>
      </c>
    </row>
    <row r="15" customFormat="false" ht="15" hidden="false" customHeight="false" outlineLevel="0" collapsed="false">
      <c r="A15" s="1" t="n">
        <v>3173</v>
      </c>
      <c r="B15" s="1" t="n">
        <v>1019</v>
      </c>
      <c r="C15" s="1" t="n">
        <v>8089</v>
      </c>
      <c r="D15" s="1" t="n">
        <v>9283</v>
      </c>
      <c r="E15" s="1" t="n">
        <v>3592</v>
      </c>
      <c r="F15" s="1" t="n">
        <v>8447</v>
      </c>
      <c r="G15" s="1" t="n">
        <v>11</v>
      </c>
    </row>
    <row r="16" customFormat="false" ht="15" hidden="false" customHeight="false" outlineLevel="0" collapsed="false">
      <c r="A16" s="1" t="n">
        <v>802</v>
      </c>
      <c r="B16" s="1" t="n">
        <v>6442</v>
      </c>
      <c r="C16" s="1" t="n">
        <v>6426</v>
      </c>
      <c r="D16" s="1" t="n">
        <v>946</v>
      </c>
      <c r="E16" s="1" t="n">
        <v>9464</v>
      </c>
      <c r="F16" s="1" t="n">
        <v>4417</v>
      </c>
      <c r="G16" s="1" t="n">
        <v>2835</v>
      </c>
    </row>
    <row r="17" customFormat="false" ht="15" hidden="false" customHeight="false" outlineLevel="0" collapsed="false">
      <c r="A17" s="1" t="n">
        <v>3174</v>
      </c>
      <c r="B17" s="1" t="n">
        <v>7609</v>
      </c>
      <c r="C17" s="1" t="n">
        <v>4862</v>
      </c>
      <c r="D17" s="1" t="n">
        <v>8646</v>
      </c>
      <c r="E17" s="1" t="n">
        <v>4358</v>
      </c>
      <c r="F17" s="1" t="n">
        <v>493</v>
      </c>
      <c r="G17" s="1" t="n">
        <v>6623</v>
      </c>
    </row>
    <row r="19" customFormat="false" ht="15" hidden="false" customHeight="false" outlineLevel="0" collapsed="false">
      <c r="A19" s="0" t="s">
        <v>4</v>
      </c>
      <c r="B19" s="0" t="n">
        <v>7</v>
      </c>
    </row>
    <row r="21" customFormat="false" ht="15" hidden="false" customHeight="false" outlineLevel="0" collapsed="false">
      <c r="A21" s="0" t="s">
        <v>5</v>
      </c>
      <c r="B21" s="0" t="s">
        <v>6</v>
      </c>
      <c r="C21" s="0" t="s">
        <v>7</v>
      </c>
      <c r="D21" s="0" t="s">
        <v>8</v>
      </c>
    </row>
    <row r="22" customFormat="false" ht="15" hidden="false" customHeight="false" outlineLevel="0" collapsed="false">
      <c r="A22" s="1" t="n">
        <f aca="false">G8</f>
        <v>5585</v>
      </c>
      <c r="B22" s="2" t="n">
        <f aca="false">IF(MOD(A22,100)=0,100,MOD(A22,100))</f>
        <v>85</v>
      </c>
      <c r="C22" s="0" t="str">
        <f aca="false">IF(COUNTIF(B$21:B21,B22)&gt;0,"повтор","")</f>
        <v/>
      </c>
      <c r="D22" s="2" t="n">
        <f aca="false">IF(C22="",B22,"")</f>
        <v>85</v>
      </c>
    </row>
    <row r="23" customFormat="false" ht="15" hidden="false" customHeight="false" outlineLevel="0" collapsed="false">
      <c r="A23" s="1" t="n">
        <f aca="false">G9</f>
        <v>2121</v>
      </c>
      <c r="B23" s="2" t="n">
        <f aca="false">IF(MOD(A23,100)=0,100,MOD(A23,100))</f>
        <v>21</v>
      </c>
      <c r="C23" s="0" t="str">
        <f aca="false">IF(COUNTIF(B$21:B22,B23)&gt;0,"повтор","")</f>
        <v/>
      </c>
      <c r="D23" s="2" t="n">
        <f aca="false">IF(C23="",B23,"")</f>
        <v>21</v>
      </c>
    </row>
    <row r="24" customFormat="false" ht="15" hidden="false" customHeight="false" outlineLevel="0" collapsed="false">
      <c r="A24" s="1" t="n">
        <f aca="false">G10</f>
        <v>672</v>
      </c>
      <c r="B24" s="2" t="n">
        <f aca="false">IF(MOD(A24,100)=0,100,MOD(A24,100))</f>
        <v>72</v>
      </c>
      <c r="C24" s="0" t="str">
        <f aca="false">IF(COUNTIF(B$21:B23,B24)&gt;0,"повтор","")</f>
        <v/>
      </c>
      <c r="D24" s="2" t="n">
        <f aca="false">IF(C24="",B24,"")</f>
        <v>72</v>
      </c>
    </row>
    <row r="25" customFormat="false" ht="15" hidden="false" customHeight="false" outlineLevel="0" collapsed="false">
      <c r="A25" s="1" t="n">
        <f aca="false">G11</f>
        <v>5164</v>
      </c>
      <c r="B25" s="2" t="n">
        <f aca="false">IF(MOD(A25,100)=0,100,MOD(A25,100))</f>
        <v>64</v>
      </c>
      <c r="C25" s="0" t="str">
        <f aca="false">IF(COUNTIF(B$21:B24,B25)&gt;0,"повтор","")</f>
        <v/>
      </c>
      <c r="D25" s="2" t="n">
        <f aca="false">IF(C25="",B25,"")</f>
        <v>64</v>
      </c>
    </row>
    <row r="26" customFormat="false" ht="15" hidden="false" customHeight="false" outlineLevel="0" collapsed="false">
      <c r="A26" s="1" t="n">
        <f aca="false">G12</f>
        <v>3325</v>
      </c>
      <c r="B26" s="2" t="n">
        <f aca="false">IF(MOD(A26,100)=0,100,MOD(A26,100))</f>
        <v>25</v>
      </c>
      <c r="C26" s="0" t="str">
        <f aca="false">IF(COUNTIF(B$21:B25,B26)&gt;0,"повтор","")</f>
        <v/>
      </c>
      <c r="D26" s="2" t="n">
        <f aca="false">IF(C26="",B26,"")</f>
        <v>25</v>
      </c>
    </row>
    <row r="27" customFormat="false" ht="15" hidden="false" customHeight="false" outlineLevel="0" collapsed="false">
      <c r="A27" s="1" t="n">
        <f aca="false">G13</f>
        <v>3135</v>
      </c>
      <c r="B27" s="2" t="n">
        <f aca="false">IF(MOD(A27,100)=0,100,MOD(A27,100))</f>
        <v>35</v>
      </c>
      <c r="C27" s="0" t="str">
        <f aca="false">IF(COUNTIF(B$21:B26,B27)&gt;0,"повтор","")</f>
        <v/>
      </c>
      <c r="D27" s="2" t="n">
        <f aca="false">IF(C27="",B27,"")</f>
        <v>35</v>
      </c>
    </row>
    <row r="28" customFormat="false" ht="15" hidden="false" customHeight="false" outlineLevel="0" collapsed="false">
      <c r="A28" s="1" t="n">
        <f aca="false">G14</f>
        <v>865</v>
      </c>
      <c r="B28" s="2" t="n">
        <f aca="false">IF(MOD(A28,100)=0,100,MOD(A28,100))</f>
        <v>65</v>
      </c>
      <c r="C28" s="0" t="str">
        <f aca="false">IF(COUNTIF(B$21:B27,B28)&gt;0,"повтор","")</f>
        <v/>
      </c>
      <c r="D28" s="2" t="n">
        <f aca="false">IF(C28="",B28,"")</f>
        <v>65</v>
      </c>
    </row>
    <row r="29" customFormat="false" ht="15" hidden="false" customHeight="false" outlineLevel="0" collapsed="false">
      <c r="A29" s="1" t="n">
        <f aca="false">G15</f>
        <v>11</v>
      </c>
      <c r="B29" s="2" t="n">
        <f aca="false">IF(MOD(A29,100)=0,100,MOD(A29,100))</f>
        <v>11</v>
      </c>
      <c r="C29" s="0" t="str">
        <f aca="false">IF(COUNTIF(B$21:B28,B29)&gt;0,"повтор","")</f>
        <v/>
      </c>
      <c r="D29" s="2" t="n">
        <f aca="false">IF(C29="",B29,"")</f>
        <v>11</v>
      </c>
    </row>
    <row r="30" customFormat="false" ht="15" hidden="false" customHeight="false" outlineLevel="0" collapsed="false">
      <c r="A30" s="1" t="n">
        <f aca="false">G16</f>
        <v>2835</v>
      </c>
      <c r="B30" s="2" t="n">
        <f aca="false">IF(MOD(A30,100)=0,100,MOD(A30,100))</f>
        <v>35</v>
      </c>
      <c r="C30" s="0" t="str">
        <f aca="false">IF(COUNTIF(B$21:B29,B30)&gt;0,"повтор","")</f>
        <v>повтор</v>
      </c>
      <c r="D30" s="0" t="str">
        <f aca="false">IF(C30="",B30,"")</f>
        <v/>
      </c>
    </row>
    <row r="31" customFormat="false" ht="15" hidden="false" customHeight="false" outlineLevel="0" collapsed="false">
      <c r="A31" s="1" t="n">
        <f aca="false">G17</f>
        <v>6623</v>
      </c>
      <c r="B31" s="2" t="n">
        <f aca="false">IF(MOD(A31,100)=0,100,MOD(A31,100))</f>
        <v>23</v>
      </c>
      <c r="C31" s="0" t="str">
        <f aca="false">IF(COUNTIF(B$21:B30,B31)&gt;0,"повтор","")</f>
        <v/>
      </c>
      <c r="D31" s="2" t="n">
        <f aca="false">IF(C31="",B31,"")</f>
        <v>23</v>
      </c>
    </row>
    <row r="32" customFormat="false" ht="15" hidden="false" customHeight="false" outlineLevel="0" collapsed="false">
      <c r="A32" s="1" t="n">
        <f aca="false">A8</f>
        <v>6955</v>
      </c>
      <c r="B32" s="2" t="n">
        <f aca="false">IF(MOD(A32,100)=0,100,MOD(A32,100))</f>
        <v>55</v>
      </c>
      <c r="C32" s="0" t="str">
        <f aca="false">IF(COUNTIF(B$21:B31,B32)&gt;0,"повтор","")</f>
        <v/>
      </c>
      <c r="D32" s="2" t="n">
        <f aca="false">IF(C32="",B32,"")</f>
        <v>55</v>
      </c>
    </row>
    <row r="34" customFormat="false" ht="15" hidden="false" customHeight="false" outlineLevel="0" collapsed="false">
      <c r="A34" s="0" t="s">
        <v>9</v>
      </c>
      <c r="B34" s="0" t="n">
        <f aca="false">SMALL($D$22:$D$32,1)</f>
        <v>11</v>
      </c>
      <c r="C34" s="0" t="n">
        <f aca="false">SMALL($D$22:$D$32,2)</f>
        <v>21</v>
      </c>
      <c r="D34" s="0" t="n">
        <f aca="false">SMALL($D$22:$D$32,3)</f>
        <v>23</v>
      </c>
      <c r="E34" s="0" t="n">
        <f aca="false">SMALL($D$22:$D$32,4)</f>
        <v>25</v>
      </c>
      <c r="F34" s="0" t="n">
        <f aca="false">SMALL($D$22:$D$32,5)</f>
        <v>35</v>
      </c>
      <c r="G34" s="0" t="n">
        <f aca="false">SMALL($D$22:$D$32,6)</f>
        <v>55</v>
      </c>
      <c r="H34" s="0" t="n">
        <f aca="false">SMALL($D$22:$D$32,7)</f>
        <v>64</v>
      </c>
      <c r="I34" s="0" t="n">
        <f aca="false">SMALL($D$22:$D$32,8)</f>
        <v>65</v>
      </c>
      <c r="J34" s="0" t="n">
        <f aca="false">SMALL($D$22:$D$32,9)</f>
        <v>72</v>
      </c>
      <c r="K34" s="0" t="n">
        <f aca="false">SMALL($D$22:$D$32,10)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0" t="s">
        <v>10</v>
      </c>
      <c r="M1" s="0" t="s">
        <v>11</v>
      </c>
      <c r="N1" s="0" t="s">
        <v>12</v>
      </c>
    </row>
    <row r="2" customFormat="false" ht="15" hidden="false" customHeight="false" outlineLevel="0" collapsed="false">
      <c r="A2" s="0" t="s">
        <v>13</v>
      </c>
      <c r="M2" s="0" t="str">
        <f aca="false">INDEX($B$4:$K$4,1)&amp;", "&amp;INDEX($B$4:$K$4,2)&amp;", "&amp;INDEX($B$4:$K$4,3)</f>
        <v>11, 21, 23</v>
      </c>
      <c r="N2" s="3" t="n">
        <f aca="false">(INDEX($B$5:$K$5,1)+INDEX($B$5:$K$5,2)+INDEX($B$5:$K$5,3))/3</f>
        <v>2.81</v>
      </c>
    </row>
    <row r="3" customFormat="false" ht="15" hidden="false" customHeight="false" outlineLevel="0" collapsed="false">
      <c r="M3" s="0" t="str">
        <f aca="false">INDEX($B$4:$K$4,1)&amp;", "&amp;INDEX($B$4:$K$4,2)&amp;", "&amp;INDEX($B$4:$K$4,4)</f>
        <v>11, 21, 25</v>
      </c>
      <c r="N3" s="3" t="n">
        <f aca="false">(INDEX($B$5:$K$5,1)+INDEX($B$5:$K$5,2)+INDEX($B$5:$K$5,4))/3</f>
        <v>1.98666666666667</v>
      </c>
    </row>
    <row r="4" customFormat="false" ht="15" hidden="false" customHeight="false" outlineLevel="0" collapsed="false">
      <c r="A4" s="0" t="s">
        <v>14</v>
      </c>
      <c r="B4" s="0" t="n">
        <f aca="false">'Задача 1'!B34</f>
        <v>11</v>
      </c>
      <c r="C4" s="0" t="n">
        <f aca="false">'Задача 1'!C34</f>
        <v>21</v>
      </c>
      <c r="D4" s="0" t="n">
        <f aca="false">'Задача 1'!D34</f>
        <v>23</v>
      </c>
      <c r="E4" s="0" t="n">
        <f aca="false">'Задача 1'!E34</f>
        <v>25</v>
      </c>
      <c r="F4" s="0" t="n">
        <f aca="false">'Задача 1'!F34</f>
        <v>35</v>
      </c>
      <c r="G4" s="0" t="n">
        <f aca="false">'Задача 1'!G34</f>
        <v>55</v>
      </c>
      <c r="H4" s="0" t="n">
        <f aca="false">'Задача 1'!H34</f>
        <v>64</v>
      </c>
      <c r="I4" s="0" t="n">
        <f aca="false">'Задача 1'!I34</f>
        <v>65</v>
      </c>
      <c r="J4" s="0" t="n">
        <f aca="false">'Задача 1'!J34</f>
        <v>72</v>
      </c>
      <c r="K4" s="0" t="n">
        <f aca="false">'Задача 1'!K34</f>
        <v>85</v>
      </c>
      <c r="M4" s="0" t="str">
        <f aca="false">INDEX($B$4:$K$4,1)&amp;", "&amp;INDEX($B$4:$K$4,2)&amp;", "&amp;INDEX($B$4:$K$4,5)</f>
        <v>11, 21, 35</v>
      </c>
      <c r="N4" s="3" t="n">
        <f aca="false">(INDEX($B$5:$K$5,1)+INDEX($B$5:$K$5,2)+INDEX($B$5:$K$5,5))/3</f>
        <v>1.67</v>
      </c>
    </row>
    <row r="5" customFormat="false" ht="15" hidden="false" customHeight="false" outlineLevel="0" collapsed="false">
      <c r="A5" s="0" t="s">
        <v>15</v>
      </c>
      <c r="B5" s="0" t="n">
        <v>1.09</v>
      </c>
      <c r="C5" s="0" t="n">
        <v>2.76</v>
      </c>
      <c r="D5" s="0" t="n">
        <v>4.58</v>
      </c>
      <c r="E5" s="0" t="n">
        <v>2.11</v>
      </c>
      <c r="F5" s="0" t="n">
        <v>1.16</v>
      </c>
      <c r="G5" s="0" t="n">
        <v>3.09</v>
      </c>
      <c r="H5" s="0" t="n">
        <v>2.63</v>
      </c>
      <c r="I5" s="0" t="n">
        <v>2.17</v>
      </c>
      <c r="J5" s="0" t="n">
        <v>2.15</v>
      </c>
      <c r="K5" s="0" t="n">
        <v>2.11</v>
      </c>
      <c r="M5" s="0" t="str">
        <f aca="false">INDEX($B$4:$K$4,1)&amp;", "&amp;INDEX($B$4:$K$4,2)&amp;", "&amp;INDEX($B$4:$K$4,6)</f>
        <v>11, 21, 55</v>
      </c>
      <c r="N5" s="3" t="n">
        <f aca="false">(INDEX($B$5:$K$5,1)+INDEX($B$5:$K$5,2)+INDEX($B$5:$K$5,6))/3</f>
        <v>2.31333333333333</v>
      </c>
    </row>
    <row r="6" customFormat="false" ht="15" hidden="false" customHeight="false" outlineLevel="0" collapsed="false">
      <c r="M6" s="0" t="str">
        <f aca="false">INDEX($B$4:$K$4,1)&amp;", "&amp;INDEX($B$4:$K$4,2)&amp;", "&amp;INDEX($B$4:$K$4,7)</f>
        <v>11, 21, 64</v>
      </c>
      <c r="N6" s="3" t="n">
        <f aca="false">(INDEX($B$5:$K$5,1)+INDEX($B$5:$K$5,2)+INDEX($B$5:$K$5,7))/3</f>
        <v>2.16</v>
      </c>
    </row>
    <row r="7" customFormat="false" ht="15" hidden="false" customHeight="false" outlineLevel="0" collapsed="false">
      <c r="A7" s="0" t="s">
        <v>16</v>
      </c>
      <c r="B7" s="0" t="n">
        <f aca="false">SUM(B5:K5)</f>
        <v>23.85</v>
      </c>
      <c r="M7" s="0" t="str">
        <f aca="false">INDEX($B$4:$K$4,1)&amp;", "&amp;INDEX($B$4:$K$4,2)&amp;", "&amp;INDEX($B$4:$K$4,8)</f>
        <v>11, 21, 65</v>
      </c>
      <c r="N7" s="3" t="n">
        <f aca="false">(INDEX($B$5:$K$5,1)+INDEX($B$5:$K$5,2)+INDEX($B$5:$K$5,8))/3</f>
        <v>2.00666666666667</v>
      </c>
    </row>
    <row r="8" customFormat="false" ht="15" hidden="false" customHeight="false" outlineLevel="0" collapsed="false">
      <c r="A8" s="0" t="s">
        <v>17</v>
      </c>
      <c r="B8" s="3" t="n">
        <f aca="false">B7/10</f>
        <v>2.385</v>
      </c>
      <c r="M8" s="0" t="str">
        <f aca="false">INDEX($B$4:$K$4,1)&amp;", "&amp;INDEX($B$4:$K$4,2)&amp;", "&amp;INDEX($B$4:$K$4,9)</f>
        <v>11, 21, 72</v>
      </c>
      <c r="N8" s="3" t="n">
        <f aca="false">(INDEX($B$5:$K$5,1)+INDEX($B$5:$K$5,2)+INDEX($B$5:$K$5,9))/3</f>
        <v>2</v>
      </c>
    </row>
    <row r="9" customFormat="false" ht="15" hidden="false" customHeight="false" outlineLevel="0" collapsed="false">
      <c r="A9" s="0" t="s">
        <v>18</v>
      </c>
      <c r="B9" s="0" t="n">
        <f aca="false">COMBIN(10,3)</f>
        <v>120</v>
      </c>
      <c r="M9" s="0" t="str">
        <f aca="false">INDEX($B$4:$K$4,1)&amp;", "&amp;INDEX($B$4:$K$4,2)&amp;", "&amp;INDEX($B$4:$K$4,10)</f>
        <v>11, 21, 85</v>
      </c>
      <c r="N9" s="3" t="n">
        <f aca="false">(INDEX($B$5:$K$5,1)+INDEX($B$5:$K$5,2)+INDEX($B$5:$K$5,10))/3</f>
        <v>1.98666666666667</v>
      </c>
    </row>
    <row r="10" customFormat="false" ht="15" hidden="false" customHeight="false" outlineLevel="0" collapsed="false">
      <c r="M10" s="0" t="str">
        <f aca="false">INDEX($B$4:$K$4,1)&amp;", "&amp;INDEX($B$4:$K$4,3)&amp;", "&amp;INDEX($B$4:$K$4,4)</f>
        <v>11, 23, 25</v>
      </c>
      <c r="N10" s="3" t="n">
        <f aca="false">(INDEX($B$5:$K$5,1)+INDEX($B$5:$K$5,3)+INDEX($B$5:$K$5,4))/3</f>
        <v>2.59333333333333</v>
      </c>
    </row>
    <row r="11" customFormat="false" ht="15" hidden="false" customHeight="false" outlineLevel="0" collapsed="false">
      <c r="A11" s="0" t="s">
        <v>5</v>
      </c>
      <c r="B11" s="0" t="s">
        <v>19</v>
      </c>
      <c r="C11" s="0" t="s">
        <v>20</v>
      </c>
      <c r="D11" s="0" t="s">
        <v>14</v>
      </c>
      <c r="E11" s="0" t="s">
        <v>15</v>
      </c>
      <c r="M11" s="0" t="str">
        <f aca="false">INDEX($B$4:$K$4,1)&amp;", "&amp;INDEX($B$4:$K$4,3)&amp;", "&amp;INDEX($B$4:$K$4,5)</f>
        <v>11, 23, 35</v>
      </c>
      <c r="N11" s="3" t="n">
        <f aca="false">(INDEX($B$5:$K$5,1)+INDEX($B$5:$K$5,3)+INDEX($B$5:$K$5,5))/3</f>
        <v>2.27666666666667</v>
      </c>
    </row>
    <row r="12" customFormat="false" ht="15" hidden="false" customHeight="false" outlineLevel="0" collapsed="false">
      <c r="A12" s="1" t="n">
        <f aca="false">'Задача 1'!A9</f>
        <v>4877</v>
      </c>
      <c r="B12" s="2" t="n">
        <f aca="false">MOD(A12,10)</f>
        <v>7</v>
      </c>
      <c r="C12" s="2" t="n">
        <f aca="false">IF(B12=0,10,B12)</f>
        <v>7</v>
      </c>
      <c r="D12" s="2" t="n">
        <f aca="false">INDEX($B$4:$K$4,C12)</f>
        <v>64</v>
      </c>
      <c r="E12" s="2" t="n">
        <f aca="false">INDEX($B$5:$K$5,C12)</f>
        <v>2.63</v>
      </c>
      <c r="M12" s="0" t="str">
        <f aca="false">INDEX($B$4:$K$4,1)&amp;", "&amp;INDEX($B$4:$K$4,3)&amp;", "&amp;INDEX($B$4:$K$4,6)</f>
        <v>11, 23, 55</v>
      </c>
      <c r="N12" s="3" t="n">
        <f aca="false">(INDEX($B$5:$K$5,1)+INDEX($B$5:$K$5,3)+INDEX($B$5:$K$5,6))/3</f>
        <v>2.92</v>
      </c>
    </row>
    <row r="13" customFormat="false" ht="15" hidden="false" customHeight="false" outlineLevel="0" collapsed="false">
      <c r="A13" s="1" t="n">
        <f aca="false">'Задача 1'!A10</f>
        <v>4591</v>
      </c>
      <c r="B13" s="2" t="n">
        <f aca="false">MOD(A13,10)</f>
        <v>1</v>
      </c>
      <c r="C13" s="2" t="n">
        <f aca="false">IF(B13=0,10,B13)</f>
        <v>1</v>
      </c>
      <c r="D13" s="2" t="n">
        <f aca="false">INDEX($B$4:$K$4,C13)</f>
        <v>11</v>
      </c>
      <c r="E13" s="2" t="n">
        <f aca="false">INDEX($B$5:$K$5,C13)</f>
        <v>1.09</v>
      </c>
      <c r="M13" s="0" t="str">
        <f aca="false">INDEX($B$4:$K$4,1)&amp;", "&amp;INDEX($B$4:$K$4,3)&amp;", "&amp;INDEX($B$4:$K$4,7)</f>
        <v>11, 23, 64</v>
      </c>
      <c r="N13" s="3" t="n">
        <f aca="false">(INDEX($B$5:$K$5,1)+INDEX($B$5:$K$5,3)+INDEX($B$5:$K$5,7))/3</f>
        <v>2.76666666666667</v>
      </c>
    </row>
    <row r="14" customFormat="false" ht="15" hidden="false" customHeight="false" outlineLevel="0" collapsed="false">
      <c r="A14" s="1" t="n">
        <f aca="false">'Задача 1'!A11</f>
        <v>9378</v>
      </c>
      <c r="B14" s="2" t="n">
        <f aca="false">MOD(A14,10)</f>
        <v>8</v>
      </c>
      <c r="C14" s="2" t="n">
        <f aca="false">IF(B14=0,10,B14)</f>
        <v>8</v>
      </c>
      <c r="D14" s="2" t="n">
        <f aca="false">INDEX($B$4:$K$4,C14)</f>
        <v>65</v>
      </c>
      <c r="E14" s="2" t="n">
        <f aca="false">INDEX($B$5:$K$5,C14)</f>
        <v>2.17</v>
      </c>
      <c r="M14" s="0" t="str">
        <f aca="false">INDEX($B$4:$K$4,1)&amp;", "&amp;INDEX($B$4:$K$4,3)&amp;", "&amp;INDEX($B$4:$K$4,8)</f>
        <v>11, 23, 65</v>
      </c>
      <c r="N14" s="3" t="n">
        <f aca="false">(INDEX($B$5:$K$5,1)+INDEX($B$5:$K$5,3)+INDEX($B$5:$K$5,8))/3</f>
        <v>2.61333333333333</v>
      </c>
    </row>
    <row r="15" customFormat="false" ht="15" hidden="false" customHeight="false" outlineLevel="0" collapsed="false">
      <c r="M15" s="0" t="str">
        <f aca="false">INDEX($B$4:$K$4,1)&amp;", "&amp;INDEX($B$4:$K$4,3)&amp;", "&amp;INDEX($B$4:$K$4,9)</f>
        <v>11, 23, 72</v>
      </c>
      <c r="N15" s="3" t="n">
        <f aca="false">(INDEX($B$5:$K$5,1)+INDEX($B$5:$K$5,3)+INDEX($B$5:$K$5,9))/3</f>
        <v>2.60666666666667</v>
      </c>
    </row>
    <row r="16" customFormat="false" ht="15" hidden="false" customHeight="false" outlineLevel="0" collapsed="false">
      <c r="A16" s="0" t="s">
        <v>21</v>
      </c>
      <c r="B16" s="3" t="n">
        <f aca="false">SUM(E12:E14)/3</f>
        <v>1.96333333333333</v>
      </c>
      <c r="M16" s="0" t="str">
        <f aca="false">INDEX($B$4:$K$4,1)&amp;", "&amp;INDEX($B$4:$K$4,3)&amp;", "&amp;INDEX($B$4:$K$4,10)</f>
        <v>11, 23, 85</v>
      </c>
      <c r="N16" s="3" t="n">
        <f aca="false">(INDEX($B$5:$K$5,1)+INDEX($B$5:$K$5,3)+INDEX($B$5:$K$5,10))/3</f>
        <v>2.59333333333333</v>
      </c>
    </row>
    <row r="17" customFormat="false" ht="15" hidden="false" customHeight="false" outlineLevel="0" collapsed="false">
      <c r="A17" s="0" t="s">
        <v>22</v>
      </c>
      <c r="B17" s="3" t="n">
        <f aca="false">B16-B8</f>
        <v>-0.421666666666667</v>
      </c>
      <c r="M17" s="0" t="str">
        <f aca="false">INDEX($B$4:$K$4,1)&amp;", "&amp;INDEX($B$4:$K$4,4)&amp;", "&amp;INDEX($B$4:$K$4,5)</f>
        <v>11, 25, 35</v>
      </c>
      <c r="N17" s="3" t="n">
        <f aca="false">(INDEX($B$5:$K$5,1)+INDEX($B$5:$K$5,4)+INDEX($B$5:$K$5,5))/3</f>
        <v>1.45333333333333</v>
      </c>
    </row>
    <row r="18" customFormat="false" ht="15" hidden="false" customHeight="false" outlineLevel="0" collapsed="false">
      <c r="M18" s="0" t="str">
        <f aca="false">INDEX($B$4:$K$4,1)&amp;", "&amp;INDEX($B$4:$K$4,4)&amp;", "&amp;INDEX($B$4:$K$4,6)</f>
        <v>11, 25, 55</v>
      </c>
      <c r="N18" s="3" t="n">
        <f aca="false">(INDEX($B$5:$K$5,1)+INDEX($B$5:$K$5,4)+INDEX($B$5:$K$5,6))/3</f>
        <v>2.09666666666667</v>
      </c>
    </row>
    <row r="19" customFormat="false" ht="15" hidden="false" customHeight="false" outlineLevel="0" collapsed="false">
      <c r="A19" s="0" t="s">
        <v>23</v>
      </c>
      <c r="B19" s="3" t="n">
        <f aca="false">AVERAGE(N2:N121)</f>
        <v>2.385</v>
      </c>
      <c r="M19" s="0" t="str">
        <f aca="false">INDEX($B$4:$K$4,1)&amp;", "&amp;INDEX($B$4:$K$4,4)&amp;", "&amp;INDEX($B$4:$K$4,7)</f>
        <v>11, 25, 64</v>
      </c>
      <c r="N19" s="3" t="n">
        <f aca="false">(INDEX($B$5:$K$5,1)+INDEX($B$5:$K$5,4)+INDEX($B$5:$K$5,7))/3</f>
        <v>1.94333333333333</v>
      </c>
    </row>
    <row r="20" customFormat="false" ht="15" hidden="false" customHeight="false" outlineLevel="0" collapsed="false">
      <c r="A20" s="0" t="str">
        <f aca="false">IF(COUNT(B5:K5)&lt;10,"впиши значения из приложения 1",IF(ABS(B19-B8)&lt;0.000001,"M(хср) = Хср, оценка несмещенная","не равны"))</f>
        <v>M(хср) = Хср, оценка несмещенная</v>
      </c>
      <c r="M20" s="0" t="str">
        <f aca="false">INDEX($B$4:$K$4,1)&amp;", "&amp;INDEX($B$4:$K$4,4)&amp;", "&amp;INDEX($B$4:$K$4,8)</f>
        <v>11, 25, 65</v>
      </c>
      <c r="N20" s="3" t="n">
        <f aca="false">(INDEX($B$5:$K$5,1)+INDEX($B$5:$K$5,4)+INDEX($B$5:$K$5,8))/3</f>
        <v>1.79</v>
      </c>
    </row>
    <row r="21" customFormat="false" ht="15" hidden="false" customHeight="false" outlineLevel="0" collapsed="false">
      <c r="M21" s="0" t="str">
        <f aca="false">INDEX($B$4:$K$4,1)&amp;", "&amp;INDEX($B$4:$K$4,4)&amp;", "&amp;INDEX($B$4:$K$4,9)</f>
        <v>11, 25, 72</v>
      </c>
      <c r="N21" s="3" t="n">
        <f aca="false">(INDEX($B$5:$K$5,1)+INDEX($B$5:$K$5,4)+INDEX($B$5:$K$5,9))/3</f>
        <v>1.78333333333333</v>
      </c>
    </row>
    <row r="22" customFormat="false" ht="15" hidden="false" customHeight="false" outlineLevel="0" collapsed="false">
      <c r="M22" s="0" t="str">
        <f aca="false">INDEX($B$4:$K$4,1)&amp;", "&amp;INDEX($B$4:$K$4,4)&amp;", "&amp;INDEX($B$4:$K$4,10)</f>
        <v>11, 25, 85</v>
      </c>
      <c r="N22" s="3" t="n">
        <f aca="false">(INDEX($B$5:$K$5,1)+INDEX($B$5:$K$5,4)+INDEX($B$5:$K$5,10))/3</f>
        <v>1.77</v>
      </c>
    </row>
    <row r="23" customFormat="false" ht="15" hidden="false" customHeight="false" outlineLevel="0" collapsed="false">
      <c r="M23" s="0" t="str">
        <f aca="false">INDEX($B$4:$K$4,1)&amp;", "&amp;INDEX($B$4:$K$4,5)&amp;", "&amp;INDEX($B$4:$K$4,6)</f>
        <v>11, 35, 55</v>
      </c>
      <c r="N23" s="3" t="n">
        <f aca="false">(INDEX($B$5:$K$5,1)+INDEX($B$5:$K$5,5)+INDEX($B$5:$K$5,6))/3</f>
        <v>1.78</v>
      </c>
    </row>
    <row r="24" customFormat="false" ht="15" hidden="false" customHeight="false" outlineLevel="0" collapsed="false">
      <c r="M24" s="0" t="str">
        <f aca="false">INDEX($B$4:$K$4,1)&amp;", "&amp;INDEX($B$4:$K$4,5)&amp;", "&amp;INDEX($B$4:$K$4,7)</f>
        <v>11, 35, 64</v>
      </c>
      <c r="N24" s="3" t="n">
        <f aca="false">(INDEX($B$5:$K$5,1)+INDEX($B$5:$K$5,5)+INDEX($B$5:$K$5,7))/3</f>
        <v>1.62666666666667</v>
      </c>
    </row>
    <row r="25" customFormat="false" ht="15" hidden="false" customHeight="false" outlineLevel="0" collapsed="false">
      <c r="M25" s="0" t="str">
        <f aca="false">INDEX($B$4:$K$4,1)&amp;", "&amp;INDEX($B$4:$K$4,5)&amp;", "&amp;INDEX($B$4:$K$4,8)</f>
        <v>11, 35, 65</v>
      </c>
      <c r="N25" s="3" t="n">
        <f aca="false">(INDEX($B$5:$K$5,1)+INDEX($B$5:$K$5,5)+INDEX($B$5:$K$5,8))/3</f>
        <v>1.47333333333333</v>
      </c>
    </row>
    <row r="26" customFormat="false" ht="15" hidden="false" customHeight="false" outlineLevel="0" collapsed="false">
      <c r="M26" s="0" t="str">
        <f aca="false">INDEX($B$4:$K$4,1)&amp;", "&amp;INDEX($B$4:$K$4,5)&amp;", "&amp;INDEX($B$4:$K$4,9)</f>
        <v>11, 35, 72</v>
      </c>
      <c r="N26" s="3" t="n">
        <f aca="false">(INDEX($B$5:$K$5,1)+INDEX($B$5:$K$5,5)+INDEX($B$5:$K$5,9))/3</f>
        <v>1.46666666666667</v>
      </c>
    </row>
    <row r="27" customFormat="false" ht="15" hidden="false" customHeight="false" outlineLevel="0" collapsed="false">
      <c r="M27" s="0" t="str">
        <f aca="false">INDEX($B$4:$K$4,1)&amp;", "&amp;INDEX($B$4:$K$4,5)&amp;", "&amp;INDEX($B$4:$K$4,10)</f>
        <v>11, 35, 85</v>
      </c>
      <c r="N27" s="3" t="n">
        <f aca="false">(INDEX($B$5:$K$5,1)+INDEX($B$5:$K$5,5)+INDEX($B$5:$K$5,10))/3</f>
        <v>1.45333333333333</v>
      </c>
    </row>
    <row r="28" customFormat="false" ht="15" hidden="false" customHeight="false" outlineLevel="0" collapsed="false">
      <c r="M28" s="0" t="str">
        <f aca="false">INDEX($B$4:$K$4,1)&amp;", "&amp;INDEX($B$4:$K$4,6)&amp;", "&amp;INDEX($B$4:$K$4,7)</f>
        <v>11, 55, 64</v>
      </c>
      <c r="N28" s="3" t="n">
        <f aca="false">(INDEX($B$5:$K$5,1)+INDEX($B$5:$K$5,6)+INDEX($B$5:$K$5,7))/3</f>
        <v>2.27</v>
      </c>
    </row>
    <row r="29" customFormat="false" ht="15" hidden="false" customHeight="false" outlineLevel="0" collapsed="false">
      <c r="M29" s="0" t="str">
        <f aca="false">INDEX($B$4:$K$4,1)&amp;", "&amp;INDEX($B$4:$K$4,6)&amp;", "&amp;INDEX($B$4:$K$4,8)</f>
        <v>11, 55, 65</v>
      </c>
      <c r="N29" s="3" t="n">
        <f aca="false">(INDEX($B$5:$K$5,1)+INDEX($B$5:$K$5,6)+INDEX($B$5:$K$5,8))/3</f>
        <v>2.11666666666667</v>
      </c>
    </row>
    <row r="30" customFormat="false" ht="15" hidden="false" customHeight="false" outlineLevel="0" collapsed="false">
      <c r="M30" s="0" t="str">
        <f aca="false">INDEX($B$4:$K$4,1)&amp;", "&amp;INDEX($B$4:$K$4,6)&amp;", "&amp;INDEX($B$4:$K$4,9)</f>
        <v>11, 55, 72</v>
      </c>
      <c r="N30" s="3" t="n">
        <f aca="false">(INDEX($B$5:$K$5,1)+INDEX($B$5:$K$5,6)+INDEX($B$5:$K$5,9))/3</f>
        <v>2.11</v>
      </c>
    </row>
    <row r="31" customFormat="false" ht="15" hidden="false" customHeight="false" outlineLevel="0" collapsed="false">
      <c r="M31" s="0" t="str">
        <f aca="false">INDEX($B$4:$K$4,1)&amp;", "&amp;INDEX($B$4:$K$4,6)&amp;", "&amp;INDEX($B$4:$K$4,10)</f>
        <v>11, 55, 85</v>
      </c>
      <c r="N31" s="3" t="n">
        <f aca="false">(INDEX($B$5:$K$5,1)+INDEX($B$5:$K$5,6)+INDEX($B$5:$K$5,10))/3</f>
        <v>2.09666666666667</v>
      </c>
    </row>
    <row r="32" customFormat="false" ht="15" hidden="false" customHeight="false" outlineLevel="0" collapsed="false">
      <c r="M32" s="0" t="str">
        <f aca="false">INDEX($B$4:$K$4,1)&amp;", "&amp;INDEX($B$4:$K$4,7)&amp;", "&amp;INDEX($B$4:$K$4,8)</f>
        <v>11, 64, 65</v>
      </c>
      <c r="N32" s="3" t="n">
        <f aca="false">(INDEX($B$5:$K$5,1)+INDEX($B$5:$K$5,7)+INDEX($B$5:$K$5,8))/3</f>
        <v>1.96333333333333</v>
      </c>
    </row>
    <row r="33" customFormat="false" ht="15" hidden="false" customHeight="false" outlineLevel="0" collapsed="false">
      <c r="M33" s="0" t="str">
        <f aca="false">INDEX($B$4:$K$4,1)&amp;", "&amp;INDEX($B$4:$K$4,7)&amp;", "&amp;INDEX($B$4:$K$4,9)</f>
        <v>11, 64, 72</v>
      </c>
      <c r="N33" s="3" t="n">
        <f aca="false">(INDEX($B$5:$K$5,1)+INDEX($B$5:$K$5,7)+INDEX($B$5:$K$5,9))/3</f>
        <v>1.95666666666667</v>
      </c>
    </row>
    <row r="34" customFormat="false" ht="15" hidden="false" customHeight="false" outlineLevel="0" collapsed="false">
      <c r="M34" s="0" t="str">
        <f aca="false">INDEX($B$4:$K$4,1)&amp;", "&amp;INDEX($B$4:$K$4,7)&amp;", "&amp;INDEX($B$4:$K$4,10)</f>
        <v>11, 64, 85</v>
      </c>
      <c r="N34" s="3" t="n">
        <f aca="false">(INDEX($B$5:$K$5,1)+INDEX($B$5:$K$5,7)+INDEX($B$5:$K$5,10))/3</f>
        <v>1.94333333333333</v>
      </c>
    </row>
    <row r="35" customFormat="false" ht="15" hidden="false" customHeight="false" outlineLevel="0" collapsed="false">
      <c r="M35" s="0" t="str">
        <f aca="false">INDEX($B$4:$K$4,1)&amp;", "&amp;INDEX($B$4:$K$4,8)&amp;", "&amp;INDEX($B$4:$K$4,9)</f>
        <v>11, 65, 72</v>
      </c>
      <c r="N35" s="3" t="n">
        <f aca="false">(INDEX($B$5:$K$5,1)+INDEX($B$5:$K$5,8)+INDEX($B$5:$K$5,9))/3</f>
        <v>1.80333333333333</v>
      </c>
    </row>
    <row r="36" customFormat="false" ht="15" hidden="false" customHeight="false" outlineLevel="0" collapsed="false">
      <c r="M36" s="0" t="str">
        <f aca="false">INDEX($B$4:$K$4,1)&amp;", "&amp;INDEX($B$4:$K$4,8)&amp;", "&amp;INDEX($B$4:$K$4,10)</f>
        <v>11, 65, 85</v>
      </c>
      <c r="N36" s="3" t="n">
        <f aca="false">(INDEX($B$5:$K$5,1)+INDEX($B$5:$K$5,8)+INDEX($B$5:$K$5,10))/3</f>
        <v>1.79</v>
      </c>
    </row>
    <row r="37" customFormat="false" ht="15" hidden="false" customHeight="false" outlineLevel="0" collapsed="false">
      <c r="M37" s="0" t="str">
        <f aca="false">INDEX($B$4:$K$4,1)&amp;", "&amp;INDEX($B$4:$K$4,9)&amp;", "&amp;INDEX($B$4:$K$4,10)</f>
        <v>11, 72, 85</v>
      </c>
      <c r="N37" s="3" t="n">
        <f aca="false">(INDEX($B$5:$K$5,1)+INDEX($B$5:$K$5,9)+INDEX($B$5:$K$5,10))/3</f>
        <v>1.78333333333333</v>
      </c>
    </row>
    <row r="38" customFormat="false" ht="15" hidden="false" customHeight="false" outlineLevel="0" collapsed="false">
      <c r="M38" s="0" t="str">
        <f aca="false">INDEX($B$4:$K$4,2)&amp;", "&amp;INDEX($B$4:$K$4,3)&amp;", "&amp;INDEX($B$4:$K$4,4)</f>
        <v>21, 23, 25</v>
      </c>
      <c r="N38" s="3" t="n">
        <f aca="false">(INDEX($B$5:$K$5,2)+INDEX($B$5:$K$5,3)+INDEX($B$5:$K$5,4))/3</f>
        <v>3.15</v>
      </c>
    </row>
    <row r="39" customFormat="false" ht="15" hidden="false" customHeight="false" outlineLevel="0" collapsed="false">
      <c r="M39" s="0" t="str">
        <f aca="false">INDEX($B$4:$K$4,2)&amp;", "&amp;INDEX($B$4:$K$4,3)&amp;", "&amp;INDEX($B$4:$K$4,5)</f>
        <v>21, 23, 35</v>
      </c>
      <c r="N39" s="3" t="n">
        <f aca="false">(INDEX($B$5:$K$5,2)+INDEX($B$5:$K$5,3)+INDEX($B$5:$K$5,5))/3</f>
        <v>2.83333333333333</v>
      </c>
    </row>
    <row r="40" customFormat="false" ht="15" hidden="false" customHeight="false" outlineLevel="0" collapsed="false">
      <c r="M40" s="0" t="str">
        <f aca="false">INDEX($B$4:$K$4,2)&amp;", "&amp;INDEX($B$4:$K$4,3)&amp;", "&amp;INDEX($B$4:$K$4,6)</f>
        <v>21, 23, 55</v>
      </c>
      <c r="N40" s="3" t="n">
        <f aca="false">(INDEX($B$5:$K$5,2)+INDEX($B$5:$K$5,3)+INDEX($B$5:$K$5,6))/3</f>
        <v>3.47666666666667</v>
      </c>
    </row>
    <row r="41" customFormat="false" ht="15" hidden="false" customHeight="false" outlineLevel="0" collapsed="false">
      <c r="M41" s="0" t="str">
        <f aca="false">INDEX($B$4:$K$4,2)&amp;", "&amp;INDEX($B$4:$K$4,3)&amp;", "&amp;INDEX($B$4:$K$4,7)</f>
        <v>21, 23, 64</v>
      </c>
      <c r="N41" s="3" t="n">
        <f aca="false">(INDEX($B$5:$K$5,2)+INDEX($B$5:$K$5,3)+INDEX($B$5:$K$5,7))/3</f>
        <v>3.32333333333333</v>
      </c>
    </row>
    <row r="42" customFormat="false" ht="15" hidden="false" customHeight="false" outlineLevel="0" collapsed="false">
      <c r="M42" s="0" t="str">
        <f aca="false">INDEX($B$4:$K$4,2)&amp;", "&amp;INDEX($B$4:$K$4,3)&amp;", "&amp;INDEX($B$4:$K$4,8)</f>
        <v>21, 23, 65</v>
      </c>
      <c r="N42" s="3" t="n">
        <f aca="false">(INDEX($B$5:$K$5,2)+INDEX($B$5:$K$5,3)+INDEX($B$5:$K$5,8))/3</f>
        <v>3.17</v>
      </c>
    </row>
    <row r="43" customFormat="false" ht="15" hidden="false" customHeight="false" outlineLevel="0" collapsed="false">
      <c r="M43" s="0" t="str">
        <f aca="false">INDEX($B$4:$K$4,2)&amp;", "&amp;INDEX($B$4:$K$4,3)&amp;", "&amp;INDEX($B$4:$K$4,9)</f>
        <v>21, 23, 72</v>
      </c>
      <c r="N43" s="3" t="n">
        <f aca="false">(INDEX($B$5:$K$5,2)+INDEX($B$5:$K$5,3)+INDEX($B$5:$K$5,9))/3</f>
        <v>3.16333333333333</v>
      </c>
    </row>
    <row r="44" customFormat="false" ht="15" hidden="false" customHeight="false" outlineLevel="0" collapsed="false">
      <c r="M44" s="0" t="str">
        <f aca="false">INDEX($B$4:$K$4,2)&amp;", "&amp;INDEX($B$4:$K$4,3)&amp;", "&amp;INDEX($B$4:$K$4,10)</f>
        <v>21, 23, 85</v>
      </c>
      <c r="N44" s="3" t="n">
        <f aca="false">(INDEX($B$5:$K$5,2)+INDEX($B$5:$K$5,3)+INDEX($B$5:$K$5,10))/3</f>
        <v>3.15</v>
      </c>
    </row>
    <row r="45" customFormat="false" ht="15" hidden="false" customHeight="false" outlineLevel="0" collapsed="false">
      <c r="M45" s="0" t="str">
        <f aca="false">INDEX($B$4:$K$4,2)&amp;", "&amp;INDEX($B$4:$K$4,4)&amp;", "&amp;INDEX($B$4:$K$4,5)</f>
        <v>21, 25, 35</v>
      </c>
      <c r="N45" s="3" t="n">
        <f aca="false">(INDEX($B$5:$K$5,2)+INDEX($B$5:$K$5,4)+INDEX($B$5:$K$5,5))/3</f>
        <v>2.01</v>
      </c>
    </row>
    <row r="46" customFormat="false" ht="15" hidden="false" customHeight="false" outlineLevel="0" collapsed="false">
      <c r="M46" s="0" t="str">
        <f aca="false">INDEX($B$4:$K$4,2)&amp;", "&amp;INDEX($B$4:$K$4,4)&amp;", "&amp;INDEX($B$4:$K$4,6)</f>
        <v>21, 25, 55</v>
      </c>
      <c r="N46" s="3" t="n">
        <f aca="false">(INDEX($B$5:$K$5,2)+INDEX($B$5:$K$5,4)+INDEX($B$5:$K$5,6))/3</f>
        <v>2.65333333333333</v>
      </c>
    </row>
    <row r="47" customFormat="false" ht="15" hidden="false" customHeight="false" outlineLevel="0" collapsed="false">
      <c r="M47" s="0" t="str">
        <f aca="false">INDEX($B$4:$K$4,2)&amp;", "&amp;INDEX($B$4:$K$4,4)&amp;", "&amp;INDEX($B$4:$K$4,7)</f>
        <v>21, 25, 64</v>
      </c>
      <c r="N47" s="3" t="n">
        <f aca="false">(INDEX($B$5:$K$5,2)+INDEX($B$5:$K$5,4)+INDEX($B$5:$K$5,7))/3</f>
        <v>2.5</v>
      </c>
    </row>
    <row r="48" customFormat="false" ht="15" hidden="false" customHeight="false" outlineLevel="0" collapsed="false">
      <c r="M48" s="0" t="str">
        <f aca="false">INDEX($B$4:$K$4,2)&amp;", "&amp;INDEX($B$4:$K$4,4)&amp;", "&amp;INDEX($B$4:$K$4,8)</f>
        <v>21, 25, 65</v>
      </c>
      <c r="N48" s="3" t="n">
        <f aca="false">(INDEX($B$5:$K$5,2)+INDEX($B$5:$K$5,4)+INDEX($B$5:$K$5,8))/3</f>
        <v>2.34666666666667</v>
      </c>
    </row>
    <row r="49" customFormat="false" ht="15" hidden="false" customHeight="false" outlineLevel="0" collapsed="false">
      <c r="M49" s="0" t="str">
        <f aca="false">INDEX($B$4:$K$4,2)&amp;", "&amp;INDEX($B$4:$K$4,4)&amp;", "&amp;INDEX($B$4:$K$4,9)</f>
        <v>21, 25, 72</v>
      </c>
      <c r="N49" s="3" t="n">
        <f aca="false">(INDEX($B$5:$K$5,2)+INDEX($B$5:$K$5,4)+INDEX($B$5:$K$5,9))/3</f>
        <v>2.34</v>
      </c>
    </row>
    <row r="50" customFormat="false" ht="15" hidden="false" customHeight="false" outlineLevel="0" collapsed="false">
      <c r="M50" s="0" t="str">
        <f aca="false">INDEX($B$4:$K$4,2)&amp;", "&amp;INDEX($B$4:$K$4,4)&amp;", "&amp;INDEX($B$4:$K$4,10)</f>
        <v>21, 25, 85</v>
      </c>
      <c r="N50" s="3" t="n">
        <f aca="false">(INDEX($B$5:$K$5,2)+INDEX($B$5:$K$5,4)+INDEX($B$5:$K$5,10))/3</f>
        <v>2.32666666666667</v>
      </c>
    </row>
    <row r="51" customFormat="false" ht="15" hidden="false" customHeight="false" outlineLevel="0" collapsed="false">
      <c r="M51" s="0" t="str">
        <f aca="false">INDEX($B$4:$K$4,2)&amp;", "&amp;INDEX($B$4:$K$4,5)&amp;", "&amp;INDEX($B$4:$K$4,6)</f>
        <v>21, 35, 55</v>
      </c>
      <c r="N51" s="3" t="n">
        <f aca="false">(INDEX($B$5:$K$5,2)+INDEX($B$5:$K$5,5)+INDEX($B$5:$K$5,6))/3</f>
        <v>2.33666666666667</v>
      </c>
    </row>
    <row r="52" customFormat="false" ht="15" hidden="false" customHeight="false" outlineLevel="0" collapsed="false">
      <c r="M52" s="0" t="str">
        <f aca="false">INDEX($B$4:$K$4,2)&amp;", "&amp;INDEX($B$4:$K$4,5)&amp;", "&amp;INDEX($B$4:$K$4,7)</f>
        <v>21, 35, 64</v>
      </c>
      <c r="N52" s="3" t="n">
        <f aca="false">(INDEX($B$5:$K$5,2)+INDEX($B$5:$K$5,5)+INDEX($B$5:$K$5,7))/3</f>
        <v>2.18333333333333</v>
      </c>
    </row>
    <row r="53" customFormat="false" ht="15" hidden="false" customHeight="false" outlineLevel="0" collapsed="false">
      <c r="M53" s="0" t="str">
        <f aca="false">INDEX($B$4:$K$4,2)&amp;", "&amp;INDEX($B$4:$K$4,5)&amp;", "&amp;INDEX($B$4:$K$4,8)</f>
        <v>21, 35, 65</v>
      </c>
      <c r="N53" s="3" t="n">
        <f aca="false">(INDEX($B$5:$K$5,2)+INDEX($B$5:$K$5,5)+INDEX($B$5:$K$5,8))/3</f>
        <v>2.03</v>
      </c>
    </row>
    <row r="54" customFormat="false" ht="15" hidden="false" customHeight="false" outlineLevel="0" collapsed="false">
      <c r="M54" s="0" t="str">
        <f aca="false">INDEX($B$4:$K$4,2)&amp;", "&amp;INDEX($B$4:$K$4,5)&amp;", "&amp;INDEX($B$4:$K$4,9)</f>
        <v>21, 35, 72</v>
      </c>
      <c r="N54" s="3" t="n">
        <f aca="false">(INDEX($B$5:$K$5,2)+INDEX($B$5:$K$5,5)+INDEX($B$5:$K$5,9))/3</f>
        <v>2.02333333333333</v>
      </c>
    </row>
    <row r="55" customFormat="false" ht="15" hidden="false" customHeight="false" outlineLevel="0" collapsed="false">
      <c r="M55" s="0" t="str">
        <f aca="false">INDEX($B$4:$K$4,2)&amp;", "&amp;INDEX($B$4:$K$4,5)&amp;", "&amp;INDEX($B$4:$K$4,10)</f>
        <v>21, 35, 85</v>
      </c>
      <c r="N55" s="3" t="n">
        <f aca="false">(INDEX($B$5:$K$5,2)+INDEX($B$5:$K$5,5)+INDEX($B$5:$K$5,10))/3</f>
        <v>2.01</v>
      </c>
    </row>
    <row r="56" customFormat="false" ht="15" hidden="false" customHeight="false" outlineLevel="0" collapsed="false">
      <c r="M56" s="0" t="str">
        <f aca="false">INDEX($B$4:$K$4,2)&amp;", "&amp;INDEX($B$4:$K$4,6)&amp;", "&amp;INDEX($B$4:$K$4,7)</f>
        <v>21, 55, 64</v>
      </c>
      <c r="N56" s="3" t="n">
        <f aca="false">(INDEX($B$5:$K$5,2)+INDEX($B$5:$K$5,6)+INDEX($B$5:$K$5,7))/3</f>
        <v>2.82666666666667</v>
      </c>
    </row>
    <row r="57" customFormat="false" ht="15" hidden="false" customHeight="false" outlineLevel="0" collapsed="false">
      <c r="M57" s="0" t="str">
        <f aca="false">INDEX($B$4:$K$4,2)&amp;", "&amp;INDEX($B$4:$K$4,6)&amp;", "&amp;INDEX($B$4:$K$4,8)</f>
        <v>21, 55, 65</v>
      </c>
      <c r="N57" s="3" t="n">
        <f aca="false">(INDEX($B$5:$K$5,2)+INDEX($B$5:$K$5,6)+INDEX($B$5:$K$5,8))/3</f>
        <v>2.67333333333333</v>
      </c>
    </row>
    <row r="58" customFormat="false" ht="15" hidden="false" customHeight="false" outlineLevel="0" collapsed="false">
      <c r="M58" s="0" t="str">
        <f aca="false">INDEX($B$4:$K$4,2)&amp;", "&amp;INDEX($B$4:$K$4,6)&amp;", "&amp;INDEX($B$4:$K$4,9)</f>
        <v>21, 55, 72</v>
      </c>
      <c r="N58" s="3" t="n">
        <f aca="false">(INDEX($B$5:$K$5,2)+INDEX($B$5:$K$5,6)+INDEX($B$5:$K$5,9))/3</f>
        <v>2.66666666666667</v>
      </c>
    </row>
    <row r="59" customFormat="false" ht="15" hidden="false" customHeight="false" outlineLevel="0" collapsed="false">
      <c r="M59" s="0" t="str">
        <f aca="false">INDEX($B$4:$K$4,2)&amp;", "&amp;INDEX($B$4:$K$4,6)&amp;", "&amp;INDEX($B$4:$K$4,10)</f>
        <v>21, 55, 85</v>
      </c>
      <c r="N59" s="3" t="n">
        <f aca="false">(INDEX($B$5:$K$5,2)+INDEX($B$5:$K$5,6)+INDEX($B$5:$K$5,10))/3</f>
        <v>2.65333333333333</v>
      </c>
    </row>
    <row r="60" customFormat="false" ht="15" hidden="false" customHeight="false" outlineLevel="0" collapsed="false">
      <c r="M60" s="0" t="str">
        <f aca="false">INDEX($B$4:$K$4,2)&amp;", "&amp;INDEX($B$4:$K$4,7)&amp;", "&amp;INDEX($B$4:$K$4,8)</f>
        <v>21, 64, 65</v>
      </c>
      <c r="N60" s="3" t="n">
        <f aca="false">(INDEX($B$5:$K$5,2)+INDEX($B$5:$K$5,7)+INDEX($B$5:$K$5,8))/3</f>
        <v>2.52</v>
      </c>
    </row>
    <row r="61" customFormat="false" ht="15" hidden="false" customHeight="false" outlineLevel="0" collapsed="false">
      <c r="M61" s="0" t="str">
        <f aca="false">INDEX($B$4:$K$4,2)&amp;", "&amp;INDEX($B$4:$K$4,7)&amp;", "&amp;INDEX($B$4:$K$4,9)</f>
        <v>21, 64, 72</v>
      </c>
      <c r="N61" s="3" t="n">
        <f aca="false">(INDEX($B$5:$K$5,2)+INDEX($B$5:$K$5,7)+INDEX($B$5:$K$5,9))/3</f>
        <v>2.51333333333333</v>
      </c>
    </row>
    <row r="62" customFormat="false" ht="15" hidden="false" customHeight="false" outlineLevel="0" collapsed="false">
      <c r="M62" s="0" t="str">
        <f aca="false">INDEX($B$4:$K$4,2)&amp;", "&amp;INDEX($B$4:$K$4,7)&amp;", "&amp;INDEX($B$4:$K$4,10)</f>
        <v>21, 64, 85</v>
      </c>
      <c r="N62" s="3" t="n">
        <f aca="false">(INDEX($B$5:$K$5,2)+INDEX($B$5:$K$5,7)+INDEX($B$5:$K$5,10))/3</f>
        <v>2.5</v>
      </c>
    </row>
    <row r="63" customFormat="false" ht="15" hidden="false" customHeight="false" outlineLevel="0" collapsed="false">
      <c r="M63" s="0" t="str">
        <f aca="false">INDEX($B$4:$K$4,2)&amp;", "&amp;INDEX($B$4:$K$4,8)&amp;", "&amp;INDEX($B$4:$K$4,9)</f>
        <v>21, 65, 72</v>
      </c>
      <c r="N63" s="3" t="n">
        <f aca="false">(INDEX($B$5:$K$5,2)+INDEX($B$5:$K$5,8)+INDEX($B$5:$K$5,9))/3</f>
        <v>2.36</v>
      </c>
    </row>
    <row r="64" customFormat="false" ht="15" hidden="false" customHeight="false" outlineLevel="0" collapsed="false">
      <c r="M64" s="0" t="str">
        <f aca="false">INDEX($B$4:$K$4,2)&amp;", "&amp;INDEX($B$4:$K$4,8)&amp;", "&amp;INDEX($B$4:$K$4,10)</f>
        <v>21, 65, 85</v>
      </c>
      <c r="N64" s="3" t="n">
        <f aca="false">(INDEX($B$5:$K$5,2)+INDEX($B$5:$K$5,8)+INDEX($B$5:$K$5,10))/3</f>
        <v>2.34666666666667</v>
      </c>
    </row>
    <row r="65" customFormat="false" ht="15" hidden="false" customHeight="false" outlineLevel="0" collapsed="false">
      <c r="M65" s="0" t="str">
        <f aca="false">INDEX($B$4:$K$4,2)&amp;", "&amp;INDEX($B$4:$K$4,9)&amp;", "&amp;INDEX($B$4:$K$4,10)</f>
        <v>21, 72, 85</v>
      </c>
      <c r="N65" s="3" t="n">
        <f aca="false">(INDEX($B$5:$K$5,2)+INDEX($B$5:$K$5,9)+INDEX($B$5:$K$5,10))/3</f>
        <v>2.34</v>
      </c>
    </row>
    <row r="66" customFormat="false" ht="15" hidden="false" customHeight="false" outlineLevel="0" collapsed="false">
      <c r="M66" s="0" t="str">
        <f aca="false">INDEX($B$4:$K$4,3)&amp;", "&amp;INDEX($B$4:$K$4,4)&amp;", "&amp;INDEX($B$4:$K$4,5)</f>
        <v>23, 25, 35</v>
      </c>
      <c r="N66" s="3" t="n">
        <f aca="false">(INDEX($B$5:$K$5,3)+INDEX($B$5:$K$5,4)+INDEX($B$5:$K$5,5))/3</f>
        <v>2.61666666666667</v>
      </c>
    </row>
    <row r="67" customFormat="false" ht="15" hidden="false" customHeight="false" outlineLevel="0" collapsed="false">
      <c r="M67" s="0" t="str">
        <f aca="false">INDEX($B$4:$K$4,3)&amp;", "&amp;INDEX($B$4:$K$4,4)&amp;", "&amp;INDEX($B$4:$K$4,6)</f>
        <v>23, 25, 55</v>
      </c>
      <c r="N67" s="3" t="n">
        <f aca="false">(INDEX($B$5:$K$5,3)+INDEX($B$5:$K$5,4)+INDEX($B$5:$K$5,6))/3</f>
        <v>3.26</v>
      </c>
    </row>
    <row r="68" customFormat="false" ht="15" hidden="false" customHeight="false" outlineLevel="0" collapsed="false">
      <c r="M68" s="0" t="str">
        <f aca="false">INDEX($B$4:$K$4,3)&amp;", "&amp;INDEX($B$4:$K$4,4)&amp;", "&amp;INDEX($B$4:$K$4,7)</f>
        <v>23, 25, 64</v>
      </c>
      <c r="N68" s="3" t="n">
        <f aca="false">(INDEX($B$5:$K$5,3)+INDEX($B$5:$K$5,4)+INDEX($B$5:$K$5,7))/3</f>
        <v>3.10666666666667</v>
      </c>
    </row>
    <row r="69" customFormat="false" ht="15" hidden="false" customHeight="false" outlineLevel="0" collapsed="false">
      <c r="M69" s="0" t="str">
        <f aca="false">INDEX($B$4:$K$4,3)&amp;", "&amp;INDEX($B$4:$K$4,4)&amp;", "&amp;INDEX($B$4:$K$4,8)</f>
        <v>23, 25, 65</v>
      </c>
      <c r="N69" s="3" t="n">
        <f aca="false">(INDEX($B$5:$K$5,3)+INDEX($B$5:$K$5,4)+INDEX($B$5:$K$5,8))/3</f>
        <v>2.95333333333333</v>
      </c>
    </row>
    <row r="70" customFormat="false" ht="15" hidden="false" customHeight="false" outlineLevel="0" collapsed="false">
      <c r="M70" s="0" t="str">
        <f aca="false">INDEX($B$4:$K$4,3)&amp;", "&amp;INDEX($B$4:$K$4,4)&amp;", "&amp;INDEX($B$4:$K$4,9)</f>
        <v>23, 25, 72</v>
      </c>
      <c r="N70" s="3" t="n">
        <f aca="false">(INDEX($B$5:$K$5,3)+INDEX($B$5:$K$5,4)+INDEX($B$5:$K$5,9))/3</f>
        <v>2.94666666666667</v>
      </c>
    </row>
    <row r="71" customFormat="false" ht="15" hidden="false" customHeight="false" outlineLevel="0" collapsed="false">
      <c r="M71" s="0" t="str">
        <f aca="false">INDEX($B$4:$K$4,3)&amp;", "&amp;INDEX($B$4:$K$4,4)&amp;", "&amp;INDEX($B$4:$K$4,10)</f>
        <v>23, 25, 85</v>
      </c>
      <c r="N71" s="3" t="n">
        <f aca="false">(INDEX($B$5:$K$5,3)+INDEX($B$5:$K$5,4)+INDEX($B$5:$K$5,10))/3</f>
        <v>2.93333333333333</v>
      </c>
    </row>
    <row r="72" customFormat="false" ht="15" hidden="false" customHeight="false" outlineLevel="0" collapsed="false">
      <c r="M72" s="0" t="str">
        <f aca="false">INDEX($B$4:$K$4,3)&amp;", "&amp;INDEX($B$4:$K$4,5)&amp;", "&amp;INDEX($B$4:$K$4,6)</f>
        <v>23, 35, 55</v>
      </c>
      <c r="N72" s="3" t="n">
        <f aca="false">(INDEX($B$5:$K$5,3)+INDEX($B$5:$K$5,5)+INDEX($B$5:$K$5,6))/3</f>
        <v>2.94333333333333</v>
      </c>
    </row>
    <row r="73" customFormat="false" ht="15" hidden="false" customHeight="false" outlineLevel="0" collapsed="false">
      <c r="M73" s="0" t="str">
        <f aca="false">INDEX($B$4:$K$4,3)&amp;", "&amp;INDEX($B$4:$K$4,5)&amp;", "&amp;INDEX($B$4:$K$4,7)</f>
        <v>23, 35, 64</v>
      </c>
      <c r="N73" s="3" t="n">
        <f aca="false">(INDEX($B$5:$K$5,3)+INDEX($B$5:$K$5,5)+INDEX($B$5:$K$5,7))/3</f>
        <v>2.79</v>
      </c>
    </row>
    <row r="74" customFormat="false" ht="15" hidden="false" customHeight="false" outlineLevel="0" collapsed="false">
      <c r="M74" s="0" t="str">
        <f aca="false">INDEX($B$4:$K$4,3)&amp;", "&amp;INDEX($B$4:$K$4,5)&amp;", "&amp;INDEX($B$4:$K$4,8)</f>
        <v>23, 35, 65</v>
      </c>
      <c r="N74" s="3" t="n">
        <f aca="false">(INDEX($B$5:$K$5,3)+INDEX($B$5:$K$5,5)+INDEX($B$5:$K$5,8))/3</f>
        <v>2.63666666666667</v>
      </c>
    </row>
    <row r="75" customFormat="false" ht="15" hidden="false" customHeight="false" outlineLevel="0" collapsed="false">
      <c r="M75" s="0" t="str">
        <f aca="false">INDEX($B$4:$K$4,3)&amp;", "&amp;INDEX($B$4:$K$4,5)&amp;", "&amp;INDEX($B$4:$K$4,9)</f>
        <v>23, 35, 72</v>
      </c>
      <c r="N75" s="3" t="n">
        <f aca="false">(INDEX($B$5:$K$5,3)+INDEX($B$5:$K$5,5)+INDEX($B$5:$K$5,9))/3</f>
        <v>2.63</v>
      </c>
    </row>
    <row r="76" customFormat="false" ht="15" hidden="false" customHeight="false" outlineLevel="0" collapsed="false">
      <c r="M76" s="0" t="str">
        <f aca="false">INDEX($B$4:$K$4,3)&amp;", "&amp;INDEX($B$4:$K$4,5)&amp;", "&amp;INDEX($B$4:$K$4,10)</f>
        <v>23, 35, 85</v>
      </c>
      <c r="N76" s="3" t="n">
        <f aca="false">(INDEX($B$5:$K$5,3)+INDEX($B$5:$K$5,5)+INDEX($B$5:$K$5,10))/3</f>
        <v>2.61666666666667</v>
      </c>
    </row>
    <row r="77" customFormat="false" ht="15" hidden="false" customHeight="false" outlineLevel="0" collapsed="false">
      <c r="M77" s="0" t="str">
        <f aca="false">INDEX($B$4:$K$4,3)&amp;", "&amp;INDEX($B$4:$K$4,6)&amp;", "&amp;INDEX($B$4:$K$4,7)</f>
        <v>23, 55, 64</v>
      </c>
      <c r="N77" s="3" t="n">
        <f aca="false">(INDEX($B$5:$K$5,3)+INDEX($B$5:$K$5,6)+INDEX($B$5:$K$5,7))/3</f>
        <v>3.43333333333333</v>
      </c>
    </row>
    <row r="78" customFormat="false" ht="15" hidden="false" customHeight="false" outlineLevel="0" collapsed="false">
      <c r="M78" s="0" t="str">
        <f aca="false">INDEX($B$4:$K$4,3)&amp;", "&amp;INDEX($B$4:$K$4,6)&amp;", "&amp;INDEX($B$4:$K$4,8)</f>
        <v>23, 55, 65</v>
      </c>
      <c r="N78" s="3" t="n">
        <f aca="false">(INDEX($B$5:$K$5,3)+INDEX($B$5:$K$5,6)+INDEX($B$5:$K$5,8))/3</f>
        <v>3.28</v>
      </c>
    </row>
    <row r="79" customFormat="false" ht="15" hidden="false" customHeight="false" outlineLevel="0" collapsed="false">
      <c r="M79" s="0" t="str">
        <f aca="false">INDEX($B$4:$K$4,3)&amp;", "&amp;INDEX($B$4:$K$4,6)&amp;", "&amp;INDEX($B$4:$K$4,9)</f>
        <v>23, 55, 72</v>
      </c>
      <c r="N79" s="3" t="n">
        <f aca="false">(INDEX($B$5:$K$5,3)+INDEX($B$5:$K$5,6)+INDEX($B$5:$K$5,9))/3</f>
        <v>3.27333333333333</v>
      </c>
    </row>
    <row r="80" customFormat="false" ht="15" hidden="false" customHeight="false" outlineLevel="0" collapsed="false">
      <c r="M80" s="0" t="str">
        <f aca="false">INDEX($B$4:$K$4,3)&amp;", "&amp;INDEX($B$4:$K$4,6)&amp;", "&amp;INDEX($B$4:$K$4,10)</f>
        <v>23, 55, 85</v>
      </c>
      <c r="N80" s="3" t="n">
        <f aca="false">(INDEX($B$5:$K$5,3)+INDEX($B$5:$K$5,6)+INDEX($B$5:$K$5,10))/3</f>
        <v>3.26</v>
      </c>
    </row>
    <row r="81" customFormat="false" ht="15" hidden="false" customHeight="false" outlineLevel="0" collapsed="false">
      <c r="M81" s="0" t="str">
        <f aca="false">INDEX($B$4:$K$4,3)&amp;", "&amp;INDEX($B$4:$K$4,7)&amp;", "&amp;INDEX($B$4:$K$4,8)</f>
        <v>23, 64, 65</v>
      </c>
      <c r="N81" s="3" t="n">
        <f aca="false">(INDEX($B$5:$K$5,3)+INDEX($B$5:$K$5,7)+INDEX($B$5:$K$5,8))/3</f>
        <v>3.12666666666667</v>
      </c>
    </row>
    <row r="82" customFormat="false" ht="15" hidden="false" customHeight="false" outlineLevel="0" collapsed="false">
      <c r="M82" s="0" t="str">
        <f aca="false">INDEX($B$4:$K$4,3)&amp;", "&amp;INDEX($B$4:$K$4,7)&amp;", "&amp;INDEX($B$4:$K$4,9)</f>
        <v>23, 64, 72</v>
      </c>
      <c r="N82" s="3" t="n">
        <f aca="false">(INDEX($B$5:$K$5,3)+INDEX($B$5:$K$5,7)+INDEX($B$5:$K$5,9))/3</f>
        <v>3.12</v>
      </c>
    </row>
    <row r="83" customFormat="false" ht="15" hidden="false" customHeight="false" outlineLevel="0" collapsed="false">
      <c r="M83" s="0" t="str">
        <f aca="false">INDEX($B$4:$K$4,3)&amp;", "&amp;INDEX($B$4:$K$4,7)&amp;", "&amp;INDEX($B$4:$K$4,10)</f>
        <v>23, 64, 85</v>
      </c>
      <c r="N83" s="3" t="n">
        <f aca="false">(INDEX($B$5:$K$5,3)+INDEX($B$5:$K$5,7)+INDEX($B$5:$K$5,10))/3</f>
        <v>3.10666666666667</v>
      </c>
    </row>
    <row r="84" customFormat="false" ht="15" hidden="false" customHeight="false" outlineLevel="0" collapsed="false">
      <c r="M84" s="0" t="str">
        <f aca="false">INDEX($B$4:$K$4,3)&amp;", "&amp;INDEX($B$4:$K$4,8)&amp;", "&amp;INDEX($B$4:$K$4,9)</f>
        <v>23, 65, 72</v>
      </c>
      <c r="N84" s="3" t="n">
        <f aca="false">(INDEX($B$5:$K$5,3)+INDEX($B$5:$K$5,8)+INDEX($B$5:$K$5,9))/3</f>
        <v>2.96666666666667</v>
      </c>
    </row>
    <row r="85" customFormat="false" ht="15" hidden="false" customHeight="false" outlineLevel="0" collapsed="false">
      <c r="M85" s="0" t="str">
        <f aca="false">INDEX($B$4:$K$4,3)&amp;", "&amp;INDEX($B$4:$K$4,8)&amp;", "&amp;INDEX($B$4:$K$4,10)</f>
        <v>23, 65, 85</v>
      </c>
      <c r="N85" s="3" t="n">
        <f aca="false">(INDEX($B$5:$K$5,3)+INDEX($B$5:$K$5,8)+INDEX($B$5:$K$5,10))/3</f>
        <v>2.95333333333333</v>
      </c>
    </row>
    <row r="86" customFormat="false" ht="15" hidden="false" customHeight="false" outlineLevel="0" collapsed="false">
      <c r="M86" s="0" t="str">
        <f aca="false">INDEX($B$4:$K$4,3)&amp;", "&amp;INDEX($B$4:$K$4,9)&amp;", "&amp;INDEX($B$4:$K$4,10)</f>
        <v>23, 72, 85</v>
      </c>
      <c r="N86" s="3" t="n">
        <f aca="false">(INDEX($B$5:$K$5,3)+INDEX($B$5:$K$5,9)+INDEX($B$5:$K$5,10))/3</f>
        <v>2.94666666666667</v>
      </c>
    </row>
    <row r="87" customFormat="false" ht="15" hidden="false" customHeight="false" outlineLevel="0" collapsed="false">
      <c r="M87" s="0" t="str">
        <f aca="false">INDEX($B$4:$K$4,4)&amp;", "&amp;INDEX($B$4:$K$4,5)&amp;", "&amp;INDEX($B$4:$K$4,6)</f>
        <v>25, 35, 55</v>
      </c>
      <c r="N87" s="3" t="n">
        <f aca="false">(INDEX($B$5:$K$5,4)+INDEX($B$5:$K$5,5)+INDEX($B$5:$K$5,6))/3</f>
        <v>2.12</v>
      </c>
    </row>
    <row r="88" customFormat="false" ht="15" hidden="false" customHeight="false" outlineLevel="0" collapsed="false">
      <c r="M88" s="0" t="str">
        <f aca="false">INDEX($B$4:$K$4,4)&amp;", "&amp;INDEX($B$4:$K$4,5)&amp;", "&amp;INDEX($B$4:$K$4,7)</f>
        <v>25, 35, 64</v>
      </c>
      <c r="N88" s="3" t="n">
        <f aca="false">(INDEX($B$5:$K$5,4)+INDEX($B$5:$K$5,5)+INDEX($B$5:$K$5,7))/3</f>
        <v>1.96666666666667</v>
      </c>
    </row>
    <row r="89" customFormat="false" ht="15" hidden="false" customHeight="false" outlineLevel="0" collapsed="false">
      <c r="M89" s="0" t="str">
        <f aca="false">INDEX($B$4:$K$4,4)&amp;", "&amp;INDEX($B$4:$K$4,5)&amp;", "&amp;INDEX($B$4:$K$4,8)</f>
        <v>25, 35, 65</v>
      </c>
      <c r="N89" s="3" t="n">
        <f aca="false">(INDEX($B$5:$K$5,4)+INDEX($B$5:$K$5,5)+INDEX($B$5:$K$5,8))/3</f>
        <v>1.81333333333333</v>
      </c>
    </row>
    <row r="90" customFormat="false" ht="15" hidden="false" customHeight="false" outlineLevel="0" collapsed="false">
      <c r="M90" s="0" t="str">
        <f aca="false">INDEX($B$4:$K$4,4)&amp;", "&amp;INDEX($B$4:$K$4,5)&amp;", "&amp;INDEX($B$4:$K$4,9)</f>
        <v>25, 35, 72</v>
      </c>
      <c r="N90" s="3" t="n">
        <f aca="false">(INDEX($B$5:$K$5,4)+INDEX($B$5:$K$5,5)+INDEX($B$5:$K$5,9))/3</f>
        <v>1.80666666666667</v>
      </c>
    </row>
    <row r="91" customFormat="false" ht="15" hidden="false" customHeight="false" outlineLevel="0" collapsed="false">
      <c r="M91" s="0" t="str">
        <f aca="false">INDEX($B$4:$K$4,4)&amp;", "&amp;INDEX($B$4:$K$4,5)&amp;", "&amp;INDEX($B$4:$K$4,10)</f>
        <v>25, 35, 85</v>
      </c>
      <c r="N91" s="3" t="n">
        <f aca="false">(INDEX($B$5:$K$5,4)+INDEX($B$5:$K$5,5)+INDEX($B$5:$K$5,10))/3</f>
        <v>1.79333333333333</v>
      </c>
    </row>
    <row r="92" customFormat="false" ht="15" hidden="false" customHeight="false" outlineLevel="0" collapsed="false">
      <c r="M92" s="0" t="str">
        <f aca="false">INDEX($B$4:$K$4,4)&amp;", "&amp;INDEX($B$4:$K$4,6)&amp;", "&amp;INDEX($B$4:$K$4,7)</f>
        <v>25, 55, 64</v>
      </c>
      <c r="N92" s="3" t="n">
        <f aca="false">(INDEX($B$5:$K$5,4)+INDEX($B$5:$K$5,6)+INDEX($B$5:$K$5,7))/3</f>
        <v>2.61</v>
      </c>
    </row>
    <row r="93" customFormat="false" ht="15" hidden="false" customHeight="false" outlineLevel="0" collapsed="false">
      <c r="M93" s="0" t="str">
        <f aca="false">INDEX($B$4:$K$4,4)&amp;", "&amp;INDEX($B$4:$K$4,6)&amp;", "&amp;INDEX($B$4:$K$4,8)</f>
        <v>25, 55, 65</v>
      </c>
      <c r="N93" s="3" t="n">
        <f aca="false">(INDEX($B$5:$K$5,4)+INDEX($B$5:$K$5,6)+INDEX($B$5:$K$5,8))/3</f>
        <v>2.45666666666667</v>
      </c>
    </row>
    <row r="94" customFormat="false" ht="15" hidden="false" customHeight="false" outlineLevel="0" collapsed="false">
      <c r="M94" s="0" t="str">
        <f aca="false">INDEX($B$4:$K$4,4)&amp;", "&amp;INDEX($B$4:$K$4,6)&amp;", "&amp;INDEX($B$4:$K$4,9)</f>
        <v>25, 55, 72</v>
      </c>
      <c r="N94" s="3" t="n">
        <f aca="false">(INDEX($B$5:$K$5,4)+INDEX($B$5:$K$5,6)+INDEX($B$5:$K$5,9))/3</f>
        <v>2.45</v>
      </c>
    </row>
    <row r="95" customFormat="false" ht="15" hidden="false" customHeight="false" outlineLevel="0" collapsed="false">
      <c r="M95" s="0" t="str">
        <f aca="false">INDEX($B$4:$K$4,4)&amp;", "&amp;INDEX($B$4:$K$4,6)&amp;", "&amp;INDEX($B$4:$K$4,10)</f>
        <v>25, 55, 85</v>
      </c>
      <c r="N95" s="3" t="n">
        <f aca="false">(INDEX($B$5:$K$5,4)+INDEX($B$5:$K$5,6)+INDEX($B$5:$K$5,10))/3</f>
        <v>2.43666666666667</v>
      </c>
    </row>
    <row r="96" customFormat="false" ht="15" hidden="false" customHeight="false" outlineLevel="0" collapsed="false">
      <c r="M96" s="0" t="str">
        <f aca="false">INDEX($B$4:$K$4,4)&amp;", "&amp;INDEX($B$4:$K$4,7)&amp;", "&amp;INDEX($B$4:$K$4,8)</f>
        <v>25, 64, 65</v>
      </c>
      <c r="N96" s="3" t="n">
        <f aca="false">(INDEX($B$5:$K$5,4)+INDEX($B$5:$K$5,7)+INDEX($B$5:$K$5,8))/3</f>
        <v>2.30333333333333</v>
      </c>
    </row>
    <row r="97" customFormat="false" ht="15" hidden="false" customHeight="false" outlineLevel="0" collapsed="false">
      <c r="M97" s="0" t="str">
        <f aca="false">INDEX($B$4:$K$4,4)&amp;", "&amp;INDEX($B$4:$K$4,7)&amp;", "&amp;INDEX($B$4:$K$4,9)</f>
        <v>25, 64, 72</v>
      </c>
      <c r="N97" s="3" t="n">
        <f aca="false">(INDEX($B$5:$K$5,4)+INDEX($B$5:$K$5,7)+INDEX($B$5:$K$5,9))/3</f>
        <v>2.29666666666667</v>
      </c>
    </row>
    <row r="98" customFormat="false" ht="15" hidden="false" customHeight="false" outlineLevel="0" collapsed="false">
      <c r="M98" s="0" t="str">
        <f aca="false">INDEX($B$4:$K$4,4)&amp;", "&amp;INDEX($B$4:$K$4,7)&amp;", "&amp;INDEX($B$4:$K$4,10)</f>
        <v>25, 64, 85</v>
      </c>
      <c r="N98" s="3" t="n">
        <f aca="false">(INDEX($B$5:$K$5,4)+INDEX($B$5:$K$5,7)+INDEX($B$5:$K$5,10))/3</f>
        <v>2.28333333333333</v>
      </c>
    </row>
    <row r="99" customFormat="false" ht="15" hidden="false" customHeight="false" outlineLevel="0" collapsed="false">
      <c r="M99" s="0" t="str">
        <f aca="false">INDEX($B$4:$K$4,4)&amp;", "&amp;INDEX($B$4:$K$4,8)&amp;", "&amp;INDEX($B$4:$K$4,9)</f>
        <v>25, 65, 72</v>
      </c>
      <c r="N99" s="3" t="n">
        <f aca="false">(INDEX($B$5:$K$5,4)+INDEX($B$5:$K$5,8)+INDEX($B$5:$K$5,9))/3</f>
        <v>2.14333333333333</v>
      </c>
    </row>
    <row r="100" customFormat="false" ht="15" hidden="false" customHeight="false" outlineLevel="0" collapsed="false">
      <c r="M100" s="0" t="str">
        <f aca="false">INDEX($B$4:$K$4,4)&amp;", "&amp;INDEX($B$4:$K$4,8)&amp;", "&amp;INDEX($B$4:$K$4,10)</f>
        <v>25, 65, 85</v>
      </c>
      <c r="N100" s="3" t="n">
        <f aca="false">(INDEX($B$5:$K$5,4)+INDEX($B$5:$K$5,8)+INDEX($B$5:$K$5,10))/3</f>
        <v>2.13</v>
      </c>
    </row>
    <row r="101" customFormat="false" ht="15" hidden="false" customHeight="false" outlineLevel="0" collapsed="false">
      <c r="M101" s="0" t="str">
        <f aca="false">INDEX($B$4:$K$4,4)&amp;", "&amp;INDEX($B$4:$K$4,9)&amp;", "&amp;INDEX($B$4:$K$4,10)</f>
        <v>25, 72, 85</v>
      </c>
      <c r="N101" s="3" t="n">
        <f aca="false">(INDEX($B$5:$K$5,4)+INDEX($B$5:$K$5,9)+INDEX($B$5:$K$5,10))/3</f>
        <v>2.12333333333333</v>
      </c>
    </row>
    <row r="102" customFormat="false" ht="15" hidden="false" customHeight="false" outlineLevel="0" collapsed="false">
      <c r="M102" s="0" t="str">
        <f aca="false">INDEX($B$4:$K$4,5)&amp;", "&amp;INDEX($B$4:$K$4,6)&amp;", "&amp;INDEX($B$4:$K$4,7)</f>
        <v>35, 55, 64</v>
      </c>
      <c r="N102" s="3" t="n">
        <f aca="false">(INDEX($B$5:$K$5,5)+INDEX($B$5:$K$5,6)+INDEX($B$5:$K$5,7))/3</f>
        <v>2.29333333333333</v>
      </c>
    </row>
    <row r="103" customFormat="false" ht="15" hidden="false" customHeight="false" outlineLevel="0" collapsed="false">
      <c r="M103" s="0" t="str">
        <f aca="false">INDEX($B$4:$K$4,5)&amp;", "&amp;INDEX($B$4:$K$4,6)&amp;", "&amp;INDEX($B$4:$K$4,8)</f>
        <v>35, 55, 65</v>
      </c>
      <c r="N103" s="3" t="n">
        <f aca="false">(INDEX($B$5:$K$5,5)+INDEX($B$5:$K$5,6)+INDEX($B$5:$K$5,8))/3</f>
        <v>2.14</v>
      </c>
    </row>
    <row r="104" customFormat="false" ht="15" hidden="false" customHeight="false" outlineLevel="0" collapsed="false">
      <c r="M104" s="0" t="str">
        <f aca="false">INDEX($B$4:$K$4,5)&amp;", "&amp;INDEX($B$4:$K$4,6)&amp;", "&amp;INDEX($B$4:$K$4,9)</f>
        <v>35, 55, 72</v>
      </c>
      <c r="N104" s="3" t="n">
        <f aca="false">(INDEX($B$5:$K$5,5)+INDEX($B$5:$K$5,6)+INDEX($B$5:$K$5,9))/3</f>
        <v>2.13333333333333</v>
      </c>
    </row>
    <row r="105" customFormat="false" ht="15" hidden="false" customHeight="false" outlineLevel="0" collapsed="false">
      <c r="M105" s="0" t="str">
        <f aca="false">INDEX($B$4:$K$4,5)&amp;", "&amp;INDEX($B$4:$K$4,6)&amp;", "&amp;INDEX($B$4:$K$4,10)</f>
        <v>35, 55, 85</v>
      </c>
      <c r="N105" s="3" t="n">
        <f aca="false">(INDEX($B$5:$K$5,5)+INDEX($B$5:$K$5,6)+INDEX($B$5:$K$5,10))/3</f>
        <v>2.12</v>
      </c>
    </row>
    <row r="106" customFormat="false" ht="15" hidden="false" customHeight="false" outlineLevel="0" collapsed="false">
      <c r="M106" s="0" t="str">
        <f aca="false">INDEX($B$4:$K$4,5)&amp;", "&amp;INDEX($B$4:$K$4,7)&amp;", "&amp;INDEX($B$4:$K$4,8)</f>
        <v>35, 64, 65</v>
      </c>
      <c r="N106" s="3" t="n">
        <f aca="false">(INDEX($B$5:$K$5,5)+INDEX($B$5:$K$5,7)+INDEX($B$5:$K$5,8))/3</f>
        <v>1.98666666666667</v>
      </c>
    </row>
    <row r="107" customFormat="false" ht="15" hidden="false" customHeight="false" outlineLevel="0" collapsed="false">
      <c r="M107" s="0" t="str">
        <f aca="false">INDEX($B$4:$K$4,5)&amp;", "&amp;INDEX($B$4:$K$4,7)&amp;", "&amp;INDEX($B$4:$K$4,9)</f>
        <v>35, 64, 72</v>
      </c>
      <c r="N107" s="3" t="n">
        <f aca="false">(INDEX($B$5:$K$5,5)+INDEX($B$5:$K$5,7)+INDEX($B$5:$K$5,9))/3</f>
        <v>1.98</v>
      </c>
    </row>
    <row r="108" customFormat="false" ht="15" hidden="false" customHeight="false" outlineLevel="0" collapsed="false">
      <c r="M108" s="0" t="str">
        <f aca="false">INDEX($B$4:$K$4,5)&amp;", "&amp;INDEX($B$4:$K$4,7)&amp;", "&amp;INDEX($B$4:$K$4,10)</f>
        <v>35, 64, 85</v>
      </c>
      <c r="N108" s="3" t="n">
        <f aca="false">(INDEX($B$5:$K$5,5)+INDEX($B$5:$K$5,7)+INDEX($B$5:$K$5,10))/3</f>
        <v>1.96666666666667</v>
      </c>
    </row>
    <row r="109" customFormat="false" ht="15" hidden="false" customHeight="false" outlineLevel="0" collapsed="false">
      <c r="M109" s="0" t="str">
        <f aca="false">INDEX($B$4:$K$4,5)&amp;", "&amp;INDEX($B$4:$K$4,8)&amp;", "&amp;INDEX($B$4:$K$4,9)</f>
        <v>35, 65, 72</v>
      </c>
      <c r="N109" s="3" t="n">
        <f aca="false">(INDEX($B$5:$K$5,5)+INDEX($B$5:$K$5,8)+INDEX($B$5:$K$5,9))/3</f>
        <v>1.82666666666667</v>
      </c>
    </row>
    <row r="110" customFormat="false" ht="15" hidden="false" customHeight="false" outlineLevel="0" collapsed="false">
      <c r="M110" s="0" t="str">
        <f aca="false">INDEX($B$4:$K$4,5)&amp;", "&amp;INDEX($B$4:$K$4,8)&amp;", "&amp;INDEX($B$4:$K$4,10)</f>
        <v>35, 65, 85</v>
      </c>
      <c r="N110" s="3" t="n">
        <f aca="false">(INDEX($B$5:$K$5,5)+INDEX($B$5:$K$5,8)+INDEX($B$5:$K$5,10))/3</f>
        <v>1.81333333333333</v>
      </c>
    </row>
    <row r="111" customFormat="false" ht="15" hidden="false" customHeight="false" outlineLevel="0" collapsed="false">
      <c r="M111" s="0" t="str">
        <f aca="false">INDEX($B$4:$K$4,5)&amp;", "&amp;INDEX($B$4:$K$4,9)&amp;", "&amp;INDEX($B$4:$K$4,10)</f>
        <v>35, 72, 85</v>
      </c>
      <c r="N111" s="3" t="n">
        <f aca="false">(INDEX($B$5:$K$5,5)+INDEX($B$5:$K$5,9)+INDEX($B$5:$K$5,10))/3</f>
        <v>1.80666666666667</v>
      </c>
    </row>
    <row r="112" customFormat="false" ht="15" hidden="false" customHeight="false" outlineLevel="0" collapsed="false">
      <c r="M112" s="0" t="str">
        <f aca="false">INDEX($B$4:$K$4,6)&amp;", "&amp;INDEX($B$4:$K$4,7)&amp;", "&amp;INDEX($B$4:$K$4,8)</f>
        <v>55, 64, 65</v>
      </c>
      <c r="N112" s="3" t="n">
        <f aca="false">(INDEX($B$5:$K$5,6)+INDEX($B$5:$K$5,7)+INDEX($B$5:$K$5,8))/3</f>
        <v>2.63</v>
      </c>
    </row>
    <row r="113" customFormat="false" ht="15" hidden="false" customHeight="false" outlineLevel="0" collapsed="false">
      <c r="M113" s="0" t="str">
        <f aca="false">INDEX($B$4:$K$4,6)&amp;", "&amp;INDEX($B$4:$K$4,7)&amp;", "&amp;INDEX($B$4:$K$4,9)</f>
        <v>55, 64, 72</v>
      </c>
      <c r="N113" s="3" t="n">
        <f aca="false">(INDEX($B$5:$K$5,6)+INDEX($B$5:$K$5,7)+INDEX($B$5:$K$5,9))/3</f>
        <v>2.62333333333333</v>
      </c>
    </row>
    <row r="114" customFormat="false" ht="15" hidden="false" customHeight="false" outlineLevel="0" collapsed="false">
      <c r="M114" s="0" t="str">
        <f aca="false">INDEX($B$4:$K$4,6)&amp;", "&amp;INDEX($B$4:$K$4,7)&amp;", "&amp;INDEX($B$4:$K$4,10)</f>
        <v>55, 64, 85</v>
      </c>
      <c r="N114" s="3" t="n">
        <f aca="false">(INDEX($B$5:$K$5,6)+INDEX($B$5:$K$5,7)+INDEX($B$5:$K$5,10))/3</f>
        <v>2.61</v>
      </c>
    </row>
    <row r="115" customFormat="false" ht="15" hidden="false" customHeight="false" outlineLevel="0" collapsed="false">
      <c r="M115" s="0" t="str">
        <f aca="false">INDEX($B$4:$K$4,6)&amp;", "&amp;INDEX($B$4:$K$4,8)&amp;", "&amp;INDEX($B$4:$K$4,9)</f>
        <v>55, 65, 72</v>
      </c>
      <c r="N115" s="3" t="n">
        <f aca="false">(INDEX($B$5:$K$5,6)+INDEX($B$5:$K$5,8)+INDEX($B$5:$K$5,9))/3</f>
        <v>2.47</v>
      </c>
    </row>
    <row r="116" customFormat="false" ht="15" hidden="false" customHeight="false" outlineLevel="0" collapsed="false">
      <c r="M116" s="0" t="str">
        <f aca="false">INDEX($B$4:$K$4,6)&amp;", "&amp;INDEX($B$4:$K$4,8)&amp;", "&amp;INDEX($B$4:$K$4,10)</f>
        <v>55, 65, 85</v>
      </c>
      <c r="N116" s="3" t="n">
        <f aca="false">(INDEX($B$5:$K$5,6)+INDEX($B$5:$K$5,8)+INDEX($B$5:$K$5,10))/3</f>
        <v>2.45666666666667</v>
      </c>
    </row>
    <row r="117" customFormat="false" ht="15" hidden="false" customHeight="false" outlineLevel="0" collapsed="false">
      <c r="M117" s="0" t="str">
        <f aca="false">INDEX($B$4:$K$4,6)&amp;", "&amp;INDEX($B$4:$K$4,9)&amp;", "&amp;INDEX($B$4:$K$4,10)</f>
        <v>55, 72, 85</v>
      </c>
      <c r="N117" s="3" t="n">
        <f aca="false">(INDEX($B$5:$K$5,6)+INDEX($B$5:$K$5,9)+INDEX($B$5:$K$5,10))/3</f>
        <v>2.45</v>
      </c>
    </row>
    <row r="118" customFormat="false" ht="15" hidden="false" customHeight="false" outlineLevel="0" collapsed="false">
      <c r="M118" s="0" t="str">
        <f aca="false">INDEX($B$4:$K$4,7)&amp;", "&amp;INDEX($B$4:$K$4,8)&amp;", "&amp;INDEX($B$4:$K$4,9)</f>
        <v>64, 65, 72</v>
      </c>
      <c r="N118" s="3" t="n">
        <f aca="false">(INDEX($B$5:$K$5,7)+INDEX($B$5:$K$5,8)+INDEX($B$5:$K$5,9))/3</f>
        <v>2.31666666666667</v>
      </c>
    </row>
    <row r="119" customFormat="false" ht="15" hidden="false" customHeight="false" outlineLevel="0" collapsed="false">
      <c r="M119" s="0" t="str">
        <f aca="false">INDEX($B$4:$K$4,7)&amp;", "&amp;INDEX($B$4:$K$4,8)&amp;", "&amp;INDEX($B$4:$K$4,10)</f>
        <v>64, 65, 85</v>
      </c>
      <c r="N119" s="3" t="n">
        <f aca="false">(INDEX($B$5:$K$5,7)+INDEX($B$5:$K$5,8)+INDEX($B$5:$K$5,10))/3</f>
        <v>2.30333333333333</v>
      </c>
    </row>
    <row r="120" customFormat="false" ht="15" hidden="false" customHeight="false" outlineLevel="0" collapsed="false">
      <c r="M120" s="0" t="str">
        <f aca="false">INDEX($B$4:$K$4,7)&amp;", "&amp;INDEX($B$4:$K$4,9)&amp;", "&amp;INDEX($B$4:$K$4,10)</f>
        <v>64, 72, 85</v>
      </c>
      <c r="N120" s="3" t="n">
        <f aca="false">(INDEX($B$5:$K$5,7)+INDEX($B$5:$K$5,9)+INDEX($B$5:$K$5,10))/3</f>
        <v>2.29666666666667</v>
      </c>
    </row>
    <row r="121" customFormat="false" ht="15" hidden="false" customHeight="false" outlineLevel="0" collapsed="false">
      <c r="M121" s="0" t="str">
        <f aca="false">INDEX($B$4:$K$4,8)&amp;", "&amp;INDEX($B$4:$K$4,9)&amp;", "&amp;INDEX($B$4:$K$4,10)</f>
        <v>65, 72, 85</v>
      </c>
      <c r="N121" s="3" t="n">
        <f aca="false">(INDEX($B$5:$K$5,8)+INDEX($B$5:$K$5,9)+INDEX($B$5:$K$5,10))/3</f>
        <v>2.14333333333333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2026-10-24T09:19:14Z</dcterms:created>
  <dc:creator>openpyxl</dc:creator>
  <dc:description/>
  <dc:language>en-US</dc:language>
  <cp:lastModifiedBy/>
  <dcterms:modified xsi:type="dcterms:W3CDTF">2026-10-24T09:19:14Z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