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Задача1" sheetId="1" state="visible" r:id="rId3"/>
    <sheet name="Задача2" sheetId="2" state="visible" r:id="rId4"/>
    <sheet name="Выборки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<sst xmlns="http://schemas.openxmlformats.org/spreadsheetml/2006/main" count="38" uniqueCount="35">
  <si>
    <t xml:space="preserve">Вершков Максим, вариант 1</t>
  </si>
  <si>
    <t xml:space="preserve">Всего предприятий</t>
  </si>
  <si>
    <t xml:space="preserve">Отбираем 10%</t>
  </si>
  <si>
    <t xml:space="preserve">строка</t>
  </si>
  <si>
    <t xml:space="preserve">Старт (строка, случайно от 1 до 7)</t>
  </si>
  <si>
    <t xml:space="preserve">Читаю строку слева направо, беру первые две цифры числа (00 = 100)</t>
  </si>
  <si>
    <t xml:space="preserve">Число</t>
  </si>
  <si>
    <t xml:space="preserve">Первые 2 цифры</t>
  </si>
  <si>
    <t xml:space="preserve">Повтор?</t>
  </si>
  <si>
    <t xml:space="preserve">Номер</t>
  </si>
  <si>
    <t xml:space="preserve">Выборка по возрастанию:</t>
  </si>
  <si>
    <t xml:space="preserve">Фамилия на В - колонка 2 табл. 1 приложения 1</t>
  </si>
  <si>
    <t xml:space="preserve">Из 10 предприятий задачи 1 случайно без повторения выбираем 3</t>
  </si>
  <si>
    <t xml:space="preserve">Количество сочетаний</t>
  </si>
  <si>
    <t xml:space="preserve">№</t>
  </si>
  <si>
    <t xml:space="preserve">Σx</t>
  </si>
  <si>
    <t xml:space="preserve">x</t>
  </si>
  <si>
    <t xml:space="preserve">(x - значения колонки 2 из приложения 1)</t>
  </si>
  <si>
    <t xml:space="preserve">x̄ген = Σx / 10</t>
  </si>
  <si>
    <t xml:space="preserve">Выбор трех: дальше по той же таблице (4 строка, 4 число), первая цифра = порядковый номер (0 -&gt; 10)</t>
  </si>
  <si>
    <t xml:space="preserve">Первая цифра</t>
  </si>
  <si>
    <t xml:space="preserve">Порядк. №</t>
  </si>
  <si>
    <t xml:space="preserve">№ предпр.</t>
  </si>
  <si>
    <t xml:space="preserve">x̄выб = </t>
  </si>
  <si>
    <t xml:space="preserve">отклонение x̄выб - x̄ген</t>
  </si>
  <si>
    <t xml:space="preserve">Несмещенность (перебор всех 120 выборок на листе Выборки)</t>
  </si>
  <si>
    <t xml:space="preserve">среднее всех выборочных средних</t>
  </si>
  <si>
    <t xml:space="preserve">x̄ген</t>
  </si>
  <si>
    <t xml:space="preserve">Предприятия</t>
  </si>
  <si>
    <t xml:space="preserve">x1</t>
  </si>
  <si>
    <t xml:space="preserve">x2</t>
  </si>
  <si>
    <t xml:space="preserve">x3</t>
  </si>
  <si>
    <t xml:space="preserve">Средняя</t>
  </si>
  <si>
    <t xml:space="preserve">min</t>
  </si>
  <si>
    <t xml:space="preserve">max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</si>
</sst>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000"/>
    <numFmt numFmtId="166" formatCode="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1" min="2" style="0" width="9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  <c r="D2" s="1" t="n">
        <v>100</v>
      </c>
    </row>
    <row r="3" customFormat="false" ht="15" hidden="false" customHeight="false" outlineLevel="0" collapsed="false">
      <c r="A3" s="1" t="s">
        <v>2</v>
      </c>
      <c r="D3" s="1" t="n">
        <f aca="false">D2*10%</f>
        <v>10</v>
      </c>
    </row>
    <row r="5" customFormat="false" ht="15" hidden="false" customHeight="false" outlineLevel="0" collapsed="false">
      <c r="A5" s="2" t="s">
        <v>3</v>
      </c>
      <c r="B5" s="2" t="n">
        <v>1</v>
      </c>
      <c r="C5" s="2" t="n">
        <v>2</v>
      </c>
      <c r="D5" s="2" t="n">
        <v>3</v>
      </c>
      <c r="E5" s="2" t="n">
        <v>4</v>
      </c>
      <c r="F5" s="2" t="n">
        <v>5</v>
      </c>
      <c r="G5" s="2" t="n">
        <v>6</v>
      </c>
      <c r="H5" s="2" t="n">
        <v>7</v>
      </c>
    </row>
    <row r="6" customFormat="false" ht="15" hidden="false" customHeight="false" outlineLevel="0" collapsed="false">
      <c r="A6" s="2" t="n">
        <v>1</v>
      </c>
      <c r="B6" s="3" t="n">
        <v>1967</v>
      </c>
      <c r="C6" s="3" t="n">
        <v>1741</v>
      </c>
      <c r="D6" s="3" t="n">
        <v>7932</v>
      </c>
      <c r="E6" s="3" t="n">
        <v>6959</v>
      </c>
      <c r="F6" s="3" t="n">
        <v>5567</v>
      </c>
      <c r="G6" s="3" t="n">
        <v>8128</v>
      </c>
      <c r="H6" s="3" t="n">
        <v>1144</v>
      </c>
    </row>
    <row r="7" customFormat="false" ht="15" hidden="false" customHeight="false" outlineLevel="0" collapsed="false">
      <c r="A7" s="2" t="n">
        <v>2</v>
      </c>
      <c r="B7" s="3" t="n">
        <v>9732</v>
      </c>
      <c r="C7" s="3" t="n">
        <v>1451</v>
      </c>
      <c r="D7" s="3" t="n">
        <v>659</v>
      </c>
      <c r="E7" s="3" t="n">
        <v>3345</v>
      </c>
      <c r="F7" s="3" t="n">
        <v>1113</v>
      </c>
      <c r="G7" s="3" t="n">
        <v>397</v>
      </c>
      <c r="H7" s="3" t="n">
        <v>9511</v>
      </c>
    </row>
    <row r="8" customFormat="false" ht="15" hidden="false" customHeight="false" outlineLevel="0" collapsed="false">
      <c r="A8" s="2" t="n">
        <v>3</v>
      </c>
      <c r="B8" s="3" t="n">
        <v>1416</v>
      </c>
      <c r="C8" s="3" t="n">
        <v>6736</v>
      </c>
      <c r="D8" s="3" t="n">
        <v>7193</v>
      </c>
      <c r="E8" s="3" t="n">
        <v>1262</v>
      </c>
      <c r="F8" s="3" t="n">
        <v>6458</v>
      </c>
      <c r="G8" s="3" t="n">
        <v>3263</v>
      </c>
      <c r="H8" s="3" t="n">
        <v>2428</v>
      </c>
    </row>
    <row r="9" customFormat="false" ht="15" hidden="false" customHeight="false" outlineLevel="0" collapsed="false">
      <c r="A9" s="2" t="n">
        <v>4</v>
      </c>
      <c r="B9" s="3" t="n">
        <v>9122</v>
      </c>
      <c r="C9" s="3" t="n">
        <v>5626</v>
      </c>
      <c r="D9" s="3" t="n">
        <v>1883</v>
      </c>
      <c r="E9" s="3" t="n">
        <v>7792</v>
      </c>
      <c r="F9" s="3" t="n">
        <v>8479</v>
      </c>
      <c r="G9" s="3" t="n">
        <v>805</v>
      </c>
      <c r="H9" s="3" t="n">
        <v>6618</v>
      </c>
    </row>
    <row r="10" customFormat="false" ht="15" hidden="false" customHeight="false" outlineLevel="0" collapsed="false">
      <c r="A10" s="2" t="n">
        <v>5</v>
      </c>
      <c r="B10" s="3" t="n">
        <v>7067</v>
      </c>
      <c r="C10" s="3" t="n">
        <v>2690</v>
      </c>
      <c r="D10" s="3" t="n">
        <v>717</v>
      </c>
      <c r="E10" s="3" t="n">
        <v>4699</v>
      </c>
      <c r="F10" s="3" t="n">
        <v>5807</v>
      </c>
      <c r="G10" s="3" t="n">
        <v>3323</v>
      </c>
      <c r="H10" s="3" t="n">
        <v>4174</v>
      </c>
    </row>
    <row r="11" customFormat="false" ht="15" hidden="false" customHeight="false" outlineLevel="0" collapsed="false">
      <c r="A11" s="2" t="n">
        <v>6</v>
      </c>
      <c r="B11" s="3" t="n">
        <v>5372</v>
      </c>
      <c r="C11" s="3" t="n">
        <v>3740</v>
      </c>
      <c r="D11" s="3" t="n">
        <v>6882</v>
      </c>
      <c r="E11" s="3" t="n">
        <v>5587</v>
      </c>
      <c r="F11" s="3" t="n">
        <v>1360</v>
      </c>
      <c r="G11" s="3" t="n">
        <v>962</v>
      </c>
      <c r="H11" s="3" t="n">
        <v>3305</v>
      </c>
    </row>
    <row r="12" customFormat="false" ht="15" hidden="false" customHeight="false" outlineLevel="0" collapsed="false">
      <c r="A12" s="2" t="n">
        <v>7</v>
      </c>
      <c r="B12" s="3" t="n">
        <v>4968</v>
      </c>
      <c r="C12" s="3" t="n">
        <v>2156</v>
      </c>
      <c r="D12" s="3" t="n">
        <v>2585</v>
      </c>
      <c r="E12" s="3" t="n">
        <v>4012</v>
      </c>
      <c r="F12" s="3" t="n">
        <v>8800</v>
      </c>
      <c r="G12" s="3" t="n">
        <v>8330</v>
      </c>
      <c r="H12" s="3" t="n">
        <v>5875</v>
      </c>
    </row>
    <row r="13" customFormat="false" ht="15" hidden="false" customHeight="false" outlineLevel="0" collapsed="false">
      <c r="A13" s="2" t="n">
        <v>8</v>
      </c>
      <c r="B13" s="3" t="n">
        <v>4157</v>
      </c>
      <c r="C13" s="3" t="n">
        <v>5100</v>
      </c>
      <c r="D13" s="3" t="n">
        <v>1585</v>
      </c>
      <c r="E13" s="3" t="n">
        <v>2383</v>
      </c>
      <c r="F13" s="3" t="n">
        <v>5100</v>
      </c>
      <c r="G13" s="3" t="n">
        <v>2912</v>
      </c>
      <c r="H13" s="3" t="n">
        <v>3635</v>
      </c>
    </row>
    <row r="14" customFormat="false" ht="15" hidden="false" customHeight="false" outlineLevel="0" collapsed="false">
      <c r="A14" s="2" t="n">
        <v>9</v>
      </c>
      <c r="B14" s="3" t="n">
        <v>6409</v>
      </c>
      <c r="C14" s="3" t="n">
        <v>1323</v>
      </c>
      <c r="D14" s="3" t="n">
        <v>6914</v>
      </c>
      <c r="E14" s="3" t="n">
        <v>4813</v>
      </c>
      <c r="F14" s="3" t="n">
        <v>6391</v>
      </c>
      <c r="G14" s="3" t="n">
        <v>7252</v>
      </c>
      <c r="H14" s="3" t="n">
        <v>9593</v>
      </c>
    </row>
    <row r="15" customFormat="false" ht="15" hidden="false" customHeight="false" outlineLevel="0" collapsed="false">
      <c r="A15" s="2" t="n">
        <v>10</v>
      </c>
      <c r="B15" s="3" t="n">
        <v>3019</v>
      </c>
      <c r="C15" s="3" t="n">
        <v>3672</v>
      </c>
      <c r="D15" s="3" t="n">
        <v>7946</v>
      </c>
      <c r="E15" s="3" t="n">
        <v>6518</v>
      </c>
      <c r="F15" s="3" t="n">
        <v>6988</v>
      </c>
      <c r="G15" s="3" t="n">
        <v>1628</v>
      </c>
      <c r="H15" s="3" t="n">
        <v>9393</v>
      </c>
    </row>
    <row r="17" customFormat="false" ht="15" hidden="false" customHeight="false" outlineLevel="0" collapsed="false">
      <c r="A17" s="1" t="s">
        <v>4</v>
      </c>
      <c r="E17" s="1" t="n">
        <v>3</v>
      </c>
    </row>
    <row r="18" customFormat="false" ht="15" hidden="false" customHeight="false" outlineLevel="0" collapsed="false">
      <c r="A18" s="1" t="s">
        <v>5</v>
      </c>
    </row>
    <row r="20" customFormat="false" ht="28.35" hidden="false" customHeight="false" outlineLevel="0" collapsed="false">
      <c r="A20" s="2" t="s">
        <v>6</v>
      </c>
      <c r="B20" s="2" t="s">
        <v>7</v>
      </c>
      <c r="C20" s="2" t="s">
        <v>8</v>
      </c>
      <c r="D20" s="2" t="s">
        <v>9</v>
      </c>
    </row>
    <row r="21" customFormat="false" ht="15" hidden="false" customHeight="false" outlineLevel="0" collapsed="false">
      <c r="A21" s="3" t="n">
        <f aca="false">B8</f>
        <v>1416</v>
      </c>
      <c r="B21" s="2" t="n">
        <f aca="false">IF(INT(A21/100)=0,100,INT(A21/100))</f>
        <v>14</v>
      </c>
      <c r="C21" s="2" t="str">
        <f aca="false">IF(COUNTIF(B$20:B20,B21)&gt;0,"да","нет")</f>
        <v>нет</v>
      </c>
      <c r="D21" s="2" t="n">
        <f aca="false">IF(C21="нет",B21,"")</f>
        <v>14</v>
      </c>
    </row>
    <row r="22" customFormat="false" ht="15" hidden="false" customHeight="false" outlineLevel="0" collapsed="false">
      <c r="A22" s="3" t="n">
        <f aca="false">C8</f>
        <v>6736</v>
      </c>
      <c r="B22" s="2" t="n">
        <f aca="false">IF(INT(A22/100)=0,100,INT(A22/100))</f>
        <v>67</v>
      </c>
      <c r="C22" s="2" t="str">
        <f aca="false">IF(COUNTIF(B$20:B21,B22)&gt;0,"да","нет")</f>
        <v>нет</v>
      </c>
      <c r="D22" s="2" t="n">
        <f aca="false">IF(C22="нет",B22,"")</f>
        <v>67</v>
      </c>
    </row>
    <row r="23" customFormat="false" ht="15" hidden="false" customHeight="false" outlineLevel="0" collapsed="false">
      <c r="A23" s="3" t="n">
        <f aca="false">D8</f>
        <v>7193</v>
      </c>
      <c r="B23" s="2" t="n">
        <f aca="false">IF(INT(A23/100)=0,100,INT(A23/100))</f>
        <v>71</v>
      </c>
      <c r="C23" s="2" t="str">
        <f aca="false">IF(COUNTIF(B$20:B22,B23)&gt;0,"да","нет")</f>
        <v>нет</v>
      </c>
      <c r="D23" s="2" t="n">
        <f aca="false">IF(C23="нет",B23,"")</f>
        <v>71</v>
      </c>
    </row>
    <row r="24" customFormat="false" ht="15" hidden="false" customHeight="false" outlineLevel="0" collapsed="false">
      <c r="A24" s="3" t="n">
        <f aca="false">E8</f>
        <v>1262</v>
      </c>
      <c r="B24" s="2" t="n">
        <f aca="false">IF(INT(A24/100)=0,100,INT(A24/100))</f>
        <v>12</v>
      </c>
      <c r="C24" s="2" t="str">
        <f aca="false">IF(COUNTIF(B$20:B23,B24)&gt;0,"да","нет")</f>
        <v>нет</v>
      </c>
      <c r="D24" s="2" t="n">
        <f aca="false">IF(C24="нет",B24,"")</f>
        <v>12</v>
      </c>
    </row>
    <row r="25" customFormat="false" ht="15" hidden="false" customHeight="false" outlineLevel="0" collapsed="false">
      <c r="A25" s="3" t="n">
        <f aca="false">F8</f>
        <v>6458</v>
      </c>
      <c r="B25" s="2" t="n">
        <f aca="false">IF(INT(A25/100)=0,100,INT(A25/100))</f>
        <v>64</v>
      </c>
      <c r="C25" s="2" t="str">
        <f aca="false">IF(COUNTIF(B$20:B24,B25)&gt;0,"да","нет")</f>
        <v>нет</v>
      </c>
      <c r="D25" s="2" t="n">
        <f aca="false">IF(C25="нет",B25,"")</f>
        <v>64</v>
      </c>
    </row>
    <row r="26" customFormat="false" ht="15" hidden="false" customHeight="false" outlineLevel="0" collapsed="false">
      <c r="A26" s="3" t="n">
        <f aca="false">G8</f>
        <v>3263</v>
      </c>
      <c r="B26" s="2" t="n">
        <f aca="false">IF(INT(A26/100)=0,100,INT(A26/100))</f>
        <v>32</v>
      </c>
      <c r="C26" s="2" t="str">
        <f aca="false">IF(COUNTIF(B$20:B25,B26)&gt;0,"да","нет")</f>
        <v>нет</v>
      </c>
      <c r="D26" s="2" t="n">
        <f aca="false">IF(C26="нет",B26,"")</f>
        <v>32</v>
      </c>
    </row>
    <row r="27" customFormat="false" ht="15" hidden="false" customHeight="false" outlineLevel="0" collapsed="false">
      <c r="A27" s="3" t="n">
        <f aca="false">H8</f>
        <v>2428</v>
      </c>
      <c r="B27" s="2" t="n">
        <f aca="false">IF(INT(A27/100)=0,100,INT(A27/100))</f>
        <v>24</v>
      </c>
      <c r="C27" s="2" t="str">
        <f aca="false">IF(COUNTIF(B$20:B26,B27)&gt;0,"да","нет")</f>
        <v>нет</v>
      </c>
      <c r="D27" s="2" t="n">
        <f aca="false">IF(C27="нет",B27,"")</f>
        <v>24</v>
      </c>
    </row>
    <row r="28" customFormat="false" ht="15" hidden="false" customHeight="false" outlineLevel="0" collapsed="false">
      <c r="A28" s="3" t="n">
        <f aca="false">B9</f>
        <v>9122</v>
      </c>
      <c r="B28" s="2" t="n">
        <f aca="false">IF(INT(A28/100)=0,100,INT(A28/100))</f>
        <v>91</v>
      </c>
      <c r="C28" s="2" t="str">
        <f aca="false">IF(COUNTIF(B$20:B27,B28)&gt;0,"да","нет")</f>
        <v>нет</v>
      </c>
      <c r="D28" s="2" t="n">
        <f aca="false">IF(C28="нет",B28,"")</f>
        <v>91</v>
      </c>
    </row>
    <row r="29" customFormat="false" ht="15" hidden="false" customHeight="false" outlineLevel="0" collapsed="false">
      <c r="A29" s="3" t="n">
        <f aca="false">C9</f>
        <v>5626</v>
      </c>
      <c r="B29" s="2" t="n">
        <f aca="false">IF(INT(A29/100)=0,100,INT(A29/100))</f>
        <v>56</v>
      </c>
      <c r="C29" s="2" t="str">
        <f aca="false">IF(COUNTIF(B$20:B28,B29)&gt;0,"да","нет")</f>
        <v>нет</v>
      </c>
      <c r="D29" s="2" t="n">
        <f aca="false">IF(C29="нет",B29,"")</f>
        <v>56</v>
      </c>
    </row>
    <row r="30" customFormat="false" ht="15" hidden="false" customHeight="false" outlineLevel="0" collapsed="false">
      <c r="A30" s="3" t="n">
        <f aca="false">D9</f>
        <v>1883</v>
      </c>
      <c r="B30" s="2" t="n">
        <f aca="false">IF(INT(A30/100)=0,100,INT(A30/100))</f>
        <v>18</v>
      </c>
      <c r="C30" s="2" t="str">
        <f aca="false">IF(COUNTIF(B$20:B29,B30)&gt;0,"да","нет")</f>
        <v>нет</v>
      </c>
      <c r="D30" s="2" t="n">
        <f aca="false">IF(C30="нет",B30,"")</f>
        <v>18</v>
      </c>
    </row>
    <row r="32" customFormat="false" ht="15" hidden="false" customHeight="false" outlineLevel="0" collapsed="false">
      <c r="A32" s="1" t="s">
        <v>10</v>
      </c>
    </row>
    <row r="33" customFormat="false" ht="15" hidden="false" customHeight="false" outlineLevel="0" collapsed="false">
      <c r="B33" s="2" t="n">
        <f aca="false">SMALL($D$21:$D$30,1)</f>
        <v>12</v>
      </c>
      <c r="C33" s="2" t="n">
        <f aca="false">SMALL($D$21:$D$30,2)</f>
        <v>14</v>
      </c>
      <c r="D33" s="2" t="n">
        <f aca="false">SMALL($D$21:$D$30,3)</f>
        <v>18</v>
      </c>
      <c r="E33" s="2" t="n">
        <f aca="false">SMALL($D$21:$D$30,4)</f>
        <v>24</v>
      </c>
      <c r="F33" s="2" t="n">
        <f aca="false">SMALL($D$21:$D$30,5)</f>
        <v>32</v>
      </c>
      <c r="G33" s="2" t="n">
        <f aca="false">SMALL($D$21:$D$30,6)</f>
        <v>56</v>
      </c>
      <c r="H33" s="2" t="n">
        <f aca="false">SMALL($D$21:$D$30,7)</f>
        <v>64</v>
      </c>
      <c r="I33" s="2" t="n">
        <f aca="false">SMALL($D$21:$D$30,8)</f>
        <v>67</v>
      </c>
      <c r="J33" s="2" t="n">
        <f aca="false">SMALL($D$21:$D$30,9)</f>
        <v>71</v>
      </c>
      <c r="K33" s="2" t="n">
        <f aca="false">SMALL($D$21:$D$30,10)</f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2" min="2" style="0" width="9"/>
  </cols>
  <sheetData>
    <row r="1" customFormat="false" ht="15" hidden="false" customHeight="false" outlineLevel="0" collapsed="false">
      <c r="A1" s="1" t="s">
        <v>11</v>
      </c>
    </row>
    <row r="2" customFormat="false" ht="15" hidden="false" customHeight="false" outlineLevel="0" collapsed="false">
      <c r="A2" s="1" t="s">
        <v>12</v>
      </c>
    </row>
    <row r="4" customFormat="false" ht="15" hidden="false" customHeight="false" outlineLevel="0" collapsed="false">
      <c r="A4" s="1" t="s">
        <v>13</v>
      </c>
      <c r="D4" s="1" t="n">
        <f aca="false">COMBIN(10,3)</f>
        <v>120</v>
      </c>
    </row>
    <row r="6" customFormat="false" ht="15" hidden="false" customHeight="false" outlineLevel="0" collapsed="false">
      <c r="A6" s="2" t="s">
        <v>14</v>
      </c>
      <c r="B6" s="2" t="n">
        <f aca="false">Задача1!B33</f>
        <v>12</v>
      </c>
      <c r="C6" s="2" t="n">
        <f aca="false">Задача1!C33</f>
        <v>14</v>
      </c>
      <c r="D6" s="2" t="n">
        <f aca="false">Задача1!D33</f>
        <v>18</v>
      </c>
      <c r="E6" s="2" t="n">
        <f aca="false">Задача1!E33</f>
        <v>24</v>
      </c>
      <c r="F6" s="2" t="n">
        <f aca="false">Задача1!F33</f>
        <v>32</v>
      </c>
      <c r="G6" s="2" t="n">
        <f aca="false">Задача1!G33</f>
        <v>56</v>
      </c>
      <c r="H6" s="2" t="n">
        <f aca="false">Задача1!H33</f>
        <v>64</v>
      </c>
      <c r="I6" s="2" t="n">
        <f aca="false">Задача1!I33</f>
        <v>67</v>
      </c>
      <c r="J6" s="2" t="n">
        <f aca="false">Задача1!J33</f>
        <v>71</v>
      </c>
      <c r="K6" s="2" t="n">
        <f aca="false">Задача1!K33</f>
        <v>91</v>
      </c>
      <c r="L6" s="2" t="s">
        <v>15</v>
      </c>
    </row>
    <row r="7" customFormat="false" ht="15" hidden="false" customHeight="false" outlineLevel="0" collapsed="false">
      <c r="A7" s="2" t="s">
        <v>16</v>
      </c>
      <c r="B7" s="2"/>
      <c r="C7" s="2"/>
      <c r="D7" s="2"/>
      <c r="E7" s="2"/>
      <c r="F7" s="2"/>
      <c r="G7" s="2"/>
      <c r="H7" s="2"/>
      <c r="I7" s="2"/>
      <c r="J7" s="2"/>
      <c r="K7" s="2"/>
      <c r="L7" s="2" t="n">
        <f aca="false">SUM(B7:K7)</f>
        <v>0</v>
      </c>
    </row>
    <row r="8" customFormat="false" ht="15" hidden="false" customHeight="false" outlineLevel="0" collapsed="false">
      <c r="A8" s="1" t="s">
        <v>17</v>
      </c>
    </row>
    <row r="10" customFormat="false" ht="15" hidden="false" customHeight="false" outlineLevel="0" collapsed="false">
      <c r="A10" s="1" t="s">
        <v>18</v>
      </c>
      <c r="D10" s="4" t="n">
        <f aca="false">L7/10</f>
        <v>0</v>
      </c>
    </row>
    <row r="12" customFormat="false" ht="15" hidden="false" customHeight="false" outlineLevel="0" collapsed="false">
      <c r="A12" s="1" t="s">
        <v>19</v>
      </c>
    </row>
    <row r="13" customFormat="false" ht="28.35" hidden="false" customHeight="false" outlineLevel="0" collapsed="false">
      <c r="A13" s="2" t="s">
        <v>6</v>
      </c>
      <c r="B13" s="2" t="s">
        <v>20</v>
      </c>
      <c r="C13" s="2" t="s">
        <v>21</v>
      </c>
      <c r="D13" s="2" t="s">
        <v>22</v>
      </c>
      <c r="E13" s="2" t="s">
        <v>16</v>
      </c>
    </row>
    <row r="14" customFormat="false" ht="15" hidden="false" customHeight="false" outlineLevel="0" collapsed="false">
      <c r="A14" s="3" t="n">
        <f aca="false">Задача1!E9</f>
        <v>7792</v>
      </c>
      <c r="B14" s="2" t="n">
        <f aca="false">INT(A14/1000)</f>
        <v>7</v>
      </c>
      <c r="C14" s="2" t="n">
        <f aca="false">IF(B14=0,10,B14)</f>
        <v>7</v>
      </c>
      <c r="D14" s="2" t="n">
        <f aca="false">INDEX($B$6:$K$6,C14)</f>
        <v>64</v>
      </c>
      <c r="E14" s="2" t="n">
        <f aca="false">INDEX($B$7:$K$7,C14)</f>
        <v>0</v>
      </c>
    </row>
    <row r="15" customFormat="false" ht="15" hidden="false" customHeight="false" outlineLevel="0" collapsed="false">
      <c r="A15" s="3" t="n">
        <f aca="false">Задача1!F9</f>
        <v>8479</v>
      </c>
      <c r="B15" s="2" t="n">
        <f aca="false">INT(A15/1000)</f>
        <v>8</v>
      </c>
      <c r="C15" s="2" t="n">
        <f aca="false">IF(B15=0,10,B15)</f>
        <v>8</v>
      </c>
      <c r="D15" s="2" t="n">
        <f aca="false">INDEX($B$6:$K$6,C15)</f>
        <v>67</v>
      </c>
      <c r="E15" s="2" t="n">
        <f aca="false">INDEX($B$7:$K$7,C15)</f>
        <v>0</v>
      </c>
    </row>
    <row r="16" customFormat="false" ht="15" hidden="false" customHeight="false" outlineLevel="0" collapsed="false">
      <c r="A16" s="3" t="n">
        <f aca="false">Задача1!G9</f>
        <v>805</v>
      </c>
      <c r="B16" s="2" t="n">
        <f aca="false">INT(A16/1000)</f>
        <v>0</v>
      </c>
      <c r="C16" s="2" t="n">
        <f aca="false">IF(B16=0,10,B16)</f>
        <v>10</v>
      </c>
      <c r="D16" s="2" t="n">
        <f aca="false">INDEX($B$6:$K$6,C16)</f>
        <v>91</v>
      </c>
      <c r="E16" s="2" t="n">
        <f aca="false">INDEX($B$7:$K$7,C16)</f>
        <v>0</v>
      </c>
    </row>
    <row r="18" customFormat="false" ht="15" hidden="false" customHeight="false" outlineLevel="0" collapsed="false">
      <c r="A18" s="1" t="s">
        <v>23</v>
      </c>
      <c r="D18" s="4" t="n">
        <f aca="false">SUM(E14:E16)/3</f>
        <v>0</v>
      </c>
    </row>
    <row r="19" customFormat="false" ht="15" hidden="false" customHeight="false" outlineLevel="0" collapsed="false">
      <c r="A19" s="1" t="s">
        <v>24</v>
      </c>
      <c r="D19" s="4" t="n">
        <f aca="false">D18-D10</f>
        <v>0</v>
      </c>
    </row>
    <row r="21" customFormat="false" ht="15" hidden="false" customHeight="false" outlineLevel="0" collapsed="false">
      <c r="A21" s="1" t="s">
        <v>25</v>
      </c>
    </row>
    <row r="22" customFormat="false" ht="15" hidden="false" customHeight="false" outlineLevel="0" collapsed="false">
      <c r="A22" s="1" t="s">
        <v>26</v>
      </c>
      <c r="D22" s="4" t="n">
        <f aca="false">AVERAGE(Выборки!F2:F121)</f>
        <v>0</v>
      </c>
    </row>
    <row r="23" customFormat="false" ht="15" hidden="false" customHeight="false" outlineLevel="0" collapsed="false">
      <c r="A23" s="1" t="s">
        <v>27</v>
      </c>
      <c r="D23" s="4" t="n">
        <f aca="false">D10</f>
        <v>0</v>
      </c>
    </row>
    <row r="24" customFormat="false" ht="15" hidden="false" customHeight="false" outlineLevel="0" collapsed="false">
      <c r="A24" s="1" t="str">
        <f aca="false">IF(COUNT(B7:K7)&lt;10,"впиши значения x из приложения 1",IF(ABS(D22-D23)&lt;0.000001,"Совпадает, значит выборочная средняя несмещенная","Не совпадает"))</f>
        <v>впиши значения x из приложения 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4"/>
  </cols>
  <sheetData>
    <row r="1" customFormat="false" ht="15" hidden="false" customHeight="false" outlineLevel="0" collapsed="false">
      <c r="A1" s="2" t="s">
        <v>14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H1" s="1" t="s">
        <v>33</v>
      </c>
      <c r="I1" s="4" t="n">
        <f aca="false">MIN(F2:F121)</f>
        <v>0</v>
      </c>
    </row>
    <row r="2" customFormat="false" ht="15" hidden="false" customHeight="false" outlineLevel="0" collapsed="false">
      <c r="A2" s="2" t="n">
        <v>1</v>
      </c>
      <c r="B2" s="2" t="str">
        <f aca="false">INDEX(Задача2!$B$6:$K$6,1)&amp;"-"&amp;INDEX(Задача2!$B$6:$K$6,2)&amp;"-"&amp;INDEX(Задача2!$B$6:$K$6,3)</f>
        <v>12-14-18</v>
      </c>
      <c r="C2" s="2" t="n">
        <f aca="false">INDEX(Задача2!$B$7:$K$7,1)</f>
        <v>0</v>
      </c>
      <c r="D2" s="2" t="n">
        <f aca="false">INDEX(Задача2!$B$7:$K$7,2)</f>
        <v>0</v>
      </c>
      <c r="E2" s="2" t="n">
        <f aca="false">INDEX(Задача2!$B$7:$K$7,3)</f>
        <v>0</v>
      </c>
      <c r="F2" s="5" t="n">
        <f aca="false">(C2+D2+E2)/3</f>
        <v>0</v>
      </c>
      <c r="H2" s="1" t="s">
        <v>34</v>
      </c>
      <c r="I2" s="4" t="n">
        <f aca="false">MAX(F2:F121)</f>
        <v>0</v>
      </c>
    </row>
    <row r="3" customFormat="false" ht="15" hidden="false" customHeight="false" outlineLevel="0" collapsed="false">
      <c r="A3" s="2" t="n">
        <v>2</v>
      </c>
      <c r="B3" s="2" t="str">
        <f aca="false">INDEX(Задача2!$B$6:$K$6,1)&amp;"-"&amp;INDEX(Задача2!$B$6:$K$6,2)&amp;"-"&amp;INDEX(Задача2!$B$6:$K$6,4)</f>
        <v>12-14-24</v>
      </c>
      <c r="C3" s="2" t="n">
        <f aca="false">INDEX(Задача2!$B$7:$K$7,1)</f>
        <v>0</v>
      </c>
      <c r="D3" s="2" t="n">
        <f aca="false">INDEX(Задача2!$B$7:$K$7,2)</f>
        <v>0</v>
      </c>
      <c r="E3" s="2" t="n">
        <f aca="false">INDEX(Задача2!$B$7:$K$7,4)</f>
        <v>0</v>
      </c>
      <c r="F3" s="5" t="n">
        <f aca="false">(C3+D3+E3)/3</f>
        <v>0</v>
      </c>
    </row>
    <row r="4" customFormat="false" ht="15" hidden="false" customHeight="false" outlineLevel="0" collapsed="false">
      <c r="A4" s="2" t="n">
        <v>3</v>
      </c>
      <c r="B4" s="2" t="str">
        <f aca="false">INDEX(Задача2!$B$6:$K$6,1)&amp;"-"&amp;INDEX(Задача2!$B$6:$K$6,2)&amp;"-"&amp;INDEX(Задача2!$B$6:$K$6,5)</f>
        <v>12-14-32</v>
      </c>
      <c r="C4" s="2" t="n">
        <f aca="false">INDEX(Задача2!$B$7:$K$7,1)</f>
        <v>0</v>
      </c>
      <c r="D4" s="2" t="n">
        <f aca="false">INDEX(Задача2!$B$7:$K$7,2)</f>
        <v>0</v>
      </c>
      <c r="E4" s="2" t="n">
        <f aca="false">INDEX(Задача2!$B$7:$K$7,5)</f>
        <v>0</v>
      </c>
      <c r="F4" s="5" t="n">
        <f aca="false">(C4+D4+E4)/3</f>
        <v>0</v>
      </c>
    </row>
    <row r="5" customFormat="false" ht="15" hidden="false" customHeight="false" outlineLevel="0" collapsed="false">
      <c r="A5" s="2" t="n">
        <v>4</v>
      </c>
      <c r="B5" s="2" t="str">
        <f aca="false">INDEX(Задача2!$B$6:$K$6,1)&amp;"-"&amp;INDEX(Задача2!$B$6:$K$6,2)&amp;"-"&amp;INDEX(Задача2!$B$6:$K$6,6)</f>
        <v>12-14-56</v>
      </c>
      <c r="C5" s="2" t="n">
        <f aca="false">INDEX(Задача2!$B$7:$K$7,1)</f>
        <v>0</v>
      </c>
      <c r="D5" s="2" t="n">
        <f aca="false">INDEX(Задача2!$B$7:$K$7,2)</f>
        <v>0</v>
      </c>
      <c r="E5" s="2" t="n">
        <f aca="false">INDEX(Задача2!$B$7:$K$7,6)</f>
        <v>0</v>
      </c>
      <c r="F5" s="5" t="n">
        <f aca="false">(C5+D5+E5)/3</f>
        <v>0</v>
      </c>
    </row>
    <row r="6" customFormat="false" ht="15" hidden="false" customHeight="false" outlineLevel="0" collapsed="false">
      <c r="A6" s="2" t="n">
        <v>5</v>
      </c>
      <c r="B6" s="2" t="str">
        <f aca="false">INDEX(Задача2!$B$6:$K$6,1)&amp;"-"&amp;INDEX(Задача2!$B$6:$K$6,2)&amp;"-"&amp;INDEX(Задача2!$B$6:$K$6,7)</f>
        <v>12-14-64</v>
      </c>
      <c r="C6" s="2" t="n">
        <f aca="false">INDEX(Задача2!$B$7:$K$7,1)</f>
        <v>0</v>
      </c>
      <c r="D6" s="2" t="n">
        <f aca="false">INDEX(Задача2!$B$7:$K$7,2)</f>
        <v>0</v>
      </c>
      <c r="E6" s="2" t="n">
        <f aca="false">INDEX(Задача2!$B$7:$K$7,7)</f>
        <v>0</v>
      </c>
      <c r="F6" s="5" t="n">
        <f aca="false">(C6+D6+E6)/3</f>
        <v>0</v>
      </c>
    </row>
    <row r="7" customFormat="false" ht="15" hidden="false" customHeight="false" outlineLevel="0" collapsed="false">
      <c r="A7" s="2" t="n">
        <v>6</v>
      </c>
      <c r="B7" s="2" t="str">
        <f aca="false">INDEX(Задача2!$B$6:$K$6,1)&amp;"-"&amp;INDEX(Задача2!$B$6:$K$6,2)&amp;"-"&amp;INDEX(Задача2!$B$6:$K$6,8)</f>
        <v>12-14-67</v>
      </c>
      <c r="C7" s="2" t="n">
        <f aca="false">INDEX(Задача2!$B$7:$K$7,1)</f>
        <v>0</v>
      </c>
      <c r="D7" s="2" t="n">
        <f aca="false">INDEX(Задача2!$B$7:$K$7,2)</f>
        <v>0</v>
      </c>
      <c r="E7" s="2" t="n">
        <f aca="false">INDEX(Задача2!$B$7:$K$7,8)</f>
        <v>0</v>
      </c>
      <c r="F7" s="5" t="n">
        <f aca="false">(C7+D7+E7)/3</f>
        <v>0</v>
      </c>
    </row>
    <row r="8" customFormat="false" ht="15" hidden="false" customHeight="false" outlineLevel="0" collapsed="false">
      <c r="A8" s="2" t="n">
        <v>7</v>
      </c>
      <c r="B8" s="2" t="str">
        <f aca="false">INDEX(Задача2!$B$6:$K$6,1)&amp;"-"&amp;INDEX(Задача2!$B$6:$K$6,2)&amp;"-"&amp;INDEX(Задача2!$B$6:$K$6,9)</f>
        <v>12-14-71</v>
      </c>
      <c r="C8" s="2" t="n">
        <f aca="false">INDEX(Задача2!$B$7:$K$7,1)</f>
        <v>0</v>
      </c>
      <c r="D8" s="2" t="n">
        <f aca="false">INDEX(Задача2!$B$7:$K$7,2)</f>
        <v>0</v>
      </c>
      <c r="E8" s="2" t="n">
        <f aca="false">INDEX(Задача2!$B$7:$K$7,9)</f>
        <v>0</v>
      </c>
      <c r="F8" s="5" t="n">
        <f aca="false">(C8+D8+E8)/3</f>
        <v>0</v>
      </c>
    </row>
    <row r="9" customFormat="false" ht="15" hidden="false" customHeight="false" outlineLevel="0" collapsed="false">
      <c r="A9" s="2" t="n">
        <v>8</v>
      </c>
      <c r="B9" s="2" t="str">
        <f aca="false">INDEX(Задача2!$B$6:$K$6,1)&amp;"-"&amp;INDEX(Задача2!$B$6:$K$6,2)&amp;"-"&amp;INDEX(Задача2!$B$6:$K$6,10)</f>
        <v>12-14-91</v>
      </c>
      <c r="C9" s="2" t="n">
        <f aca="false">INDEX(Задача2!$B$7:$K$7,1)</f>
        <v>0</v>
      </c>
      <c r="D9" s="2" t="n">
        <f aca="false">INDEX(Задача2!$B$7:$K$7,2)</f>
        <v>0</v>
      </c>
      <c r="E9" s="2" t="n">
        <f aca="false">INDEX(Задача2!$B$7:$K$7,10)</f>
        <v>0</v>
      </c>
      <c r="F9" s="5" t="n">
        <f aca="false">(C9+D9+E9)/3</f>
        <v>0</v>
      </c>
    </row>
    <row r="10" customFormat="false" ht="15" hidden="false" customHeight="false" outlineLevel="0" collapsed="false">
      <c r="A10" s="2" t="n">
        <v>9</v>
      </c>
      <c r="B10" s="2" t="str">
        <f aca="false">INDEX(Задача2!$B$6:$K$6,1)&amp;"-"&amp;INDEX(Задача2!$B$6:$K$6,3)&amp;"-"&amp;INDEX(Задача2!$B$6:$K$6,4)</f>
        <v>12-18-24</v>
      </c>
      <c r="C10" s="2" t="n">
        <f aca="false">INDEX(Задача2!$B$7:$K$7,1)</f>
        <v>0</v>
      </c>
      <c r="D10" s="2" t="n">
        <f aca="false">INDEX(Задача2!$B$7:$K$7,3)</f>
        <v>0</v>
      </c>
      <c r="E10" s="2" t="n">
        <f aca="false">INDEX(Задача2!$B$7:$K$7,4)</f>
        <v>0</v>
      </c>
      <c r="F10" s="5" t="n">
        <f aca="false">(C10+D10+E10)/3</f>
        <v>0</v>
      </c>
    </row>
    <row r="11" customFormat="false" ht="15" hidden="false" customHeight="false" outlineLevel="0" collapsed="false">
      <c r="A11" s="2" t="n">
        <v>10</v>
      </c>
      <c r="B11" s="2" t="str">
        <f aca="false">INDEX(Задача2!$B$6:$K$6,1)&amp;"-"&amp;INDEX(Задача2!$B$6:$K$6,3)&amp;"-"&amp;INDEX(Задача2!$B$6:$K$6,5)</f>
        <v>12-18-32</v>
      </c>
      <c r="C11" s="2" t="n">
        <f aca="false">INDEX(Задача2!$B$7:$K$7,1)</f>
        <v>0</v>
      </c>
      <c r="D11" s="2" t="n">
        <f aca="false">INDEX(Задача2!$B$7:$K$7,3)</f>
        <v>0</v>
      </c>
      <c r="E11" s="2" t="n">
        <f aca="false">INDEX(Задача2!$B$7:$K$7,5)</f>
        <v>0</v>
      </c>
      <c r="F11" s="5" t="n">
        <f aca="false">(C11+D11+E11)/3</f>
        <v>0</v>
      </c>
    </row>
    <row r="12" customFormat="false" ht="15" hidden="false" customHeight="false" outlineLevel="0" collapsed="false">
      <c r="A12" s="2" t="n">
        <v>11</v>
      </c>
      <c r="B12" s="2" t="str">
        <f aca="false">INDEX(Задача2!$B$6:$K$6,1)&amp;"-"&amp;INDEX(Задача2!$B$6:$K$6,3)&amp;"-"&amp;INDEX(Задача2!$B$6:$K$6,6)</f>
        <v>12-18-56</v>
      </c>
      <c r="C12" s="2" t="n">
        <f aca="false">INDEX(Задача2!$B$7:$K$7,1)</f>
        <v>0</v>
      </c>
      <c r="D12" s="2" t="n">
        <f aca="false">INDEX(Задача2!$B$7:$K$7,3)</f>
        <v>0</v>
      </c>
      <c r="E12" s="2" t="n">
        <f aca="false">INDEX(Задача2!$B$7:$K$7,6)</f>
        <v>0</v>
      </c>
      <c r="F12" s="5" t="n">
        <f aca="false">(C12+D12+E12)/3</f>
        <v>0</v>
      </c>
    </row>
    <row r="13" customFormat="false" ht="15" hidden="false" customHeight="false" outlineLevel="0" collapsed="false">
      <c r="A13" s="2" t="n">
        <v>12</v>
      </c>
      <c r="B13" s="2" t="str">
        <f aca="false">INDEX(Задача2!$B$6:$K$6,1)&amp;"-"&amp;INDEX(Задача2!$B$6:$K$6,3)&amp;"-"&amp;INDEX(Задача2!$B$6:$K$6,7)</f>
        <v>12-18-64</v>
      </c>
      <c r="C13" s="2" t="n">
        <f aca="false">INDEX(Задача2!$B$7:$K$7,1)</f>
        <v>0</v>
      </c>
      <c r="D13" s="2" t="n">
        <f aca="false">INDEX(Задача2!$B$7:$K$7,3)</f>
        <v>0</v>
      </c>
      <c r="E13" s="2" t="n">
        <f aca="false">INDEX(Задача2!$B$7:$K$7,7)</f>
        <v>0</v>
      </c>
      <c r="F13" s="5" t="n">
        <f aca="false">(C13+D13+E13)/3</f>
        <v>0</v>
      </c>
    </row>
    <row r="14" customFormat="false" ht="15" hidden="false" customHeight="false" outlineLevel="0" collapsed="false">
      <c r="A14" s="2" t="n">
        <v>13</v>
      </c>
      <c r="B14" s="2" t="str">
        <f aca="false">INDEX(Задача2!$B$6:$K$6,1)&amp;"-"&amp;INDEX(Задача2!$B$6:$K$6,3)&amp;"-"&amp;INDEX(Задача2!$B$6:$K$6,8)</f>
        <v>12-18-67</v>
      </c>
      <c r="C14" s="2" t="n">
        <f aca="false">INDEX(Задача2!$B$7:$K$7,1)</f>
        <v>0</v>
      </c>
      <c r="D14" s="2" t="n">
        <f aca="false">INDEX(Задача2!$B$7:$K$7,3)</f>
        <v>0</v>
      </c>
      <c r="E14" s="2" t="n">
        <f aca="false">INDEX(Задача2!$B$7:$K$7,8)</f>
        <v>0</v>
      </c>
      <c r="F14" s="5" t="n">
        <f aca="false">(C14+D14+E14)/3</f>
        <v>0</v>
      </c>
    </row>
    <row r="15" customFormat="false" ht="15" hidden="false" customHeight="false" outlineLevel="0" collapsed="false">
      <c r="A15" s="2" t="n">
        <v>14</v>
      </c>
      <c r="B15" s="2" t="str">
        <f aca="false">INDEX(Задача2!$B$6:$K$6,1)&amp;"-"&amp;INDEX(Задача2!$B$6:$K$6,3)&amp;"-"&amp;INDEX(Задача2!$B$6:$K$6,9)</f>
        <v>12-18-71</v>
      </c>
      <c r="C15" s="2" t="n">
        <f aca="false">INDEX(Задача2!$B$7:$K$7,1)</f>
        <v>0</v>
      </c>
      <c r="D15" s="2" t="n">
        <f aca="false">INDEX(Задача2!$B$7:$K$7,3)</f>
        <v>0</v>
      </c>
      <c r="E15" s="2" t="n">
        <f aca="false">INDEX(Задача2!$B$7:$K$7,9)</f>
        <v>0</v>
      </c>
      <c r="F15" s="5" t="n">
        <f aca="false">(C15+D15+E15)/3</f>
        <v>0</v>
      </c>
    </row>
    <row r="16" customFormat="false" ht="15" hidden="false" customHeight="false" outlineLevel="0" collapsed="false">
      <c r="A16" s="2" t="n">
        <v>15</v>
      </c>
      <c r="B16" s="2" t="str">
        <f aca="false">INDEX(Задача2!$B$6:$K$6,1)&amp;"-"&amp;INDEX(Задача2!$B$6:$K$6,3)&amp;"-"&amp;INDEX(Задача2!$B$6:$K$6,10)</f>
        <v>12-18-91</v>
      </c>
      <c r="C16" s="2" t="n">
        <f aca="false">INDEX(Задача2!$B$7:$K$7,1)</f>
        <v>0</v>
      </c>
      <c r="D16" s="2" t="n">
        <f aca="false">INDEX(Задача2!$B$7:$K$7,3)</f>
        <v>0</v>
      </c>
      <c r="E16" s="2" t="n">
        <f aca="false">INDEX(Задача2!$B$7:$K$7,10)</f>
        <v>0</v>
      </c>
      <c r="F16" s="5" t="n">
        <f aca="false">(C16+D16+E16)/3</f>
        <v>0</v>
      </c>
    </row>
    <row r="17" customFormat="false" ht="15" hidden="false" customHeight="false" outlineLevel="0" collapsed="false">
      <c r="A17" s="2" t="n">
        <v>16</v>
      </c>
      <c r="B17" s="2" t="str">
        <f aca="false">INDEX(Задача2!$B$6:$K$6,1)&amp;"-"&amp;INDEX(Задача2!$B$6:$K$6,4)&amp;"-"&amp;INDEX(Задача2!$B$6:$K$6,5)</f>
        <v>12-24-32</v>
      </c>
      <c r="C17" s="2" t="n">
        <f aca="false">INDEX(Задача2!$B$7:$K$7,1)</f>
        <v>0</v>
      </c>
      <c r="D17" s="2" t="n">
        <f aca="false">INDEX(Задача2!$B$7:$K$7,4)</f>
        <v>0</v>
      </c>
      <c r="E17" s="2" t="n">
        <f aca="false">INDEX(Задача2!$B$7:$K$7,5)</f>
        <v>0</v>
      </c>
      <c r="F17" s="5" t="n">
        <f aca="false">(C17+D17+E17)/3</f>
        <v>0</v>
      </c>
    </row>
    <row r="18" customFormat="false" ht="15" hidden="false" customHeight="false" outlineLevel="0" collapsed="false">
      <c r="A18" s="2" t="n">
        <v>17</v>
      </c>
      <c r="B18" s="2" t="str">
        <f aca="false">INDEX(Задача2!$B$6:$K$6,1)&amp;"-"&amp;INDEX(Задача2!$B$6:$K$6,4)&amp;"-"&amp;INDEX(Задача2!$B$6:$K$6,6)</f>
        <v>12-24-56</v>
      </c>
      <c r="C18" s="2" t="n">
        <f aca="false">INDEX(Задача2!$B$7:$K$7,1)</f>
        <v>0</v>
      </c>
      <c r="D18" s="2" t="n">
        <f aca="false">INDEX(Задача2!$B$7:$K$7,4)</f>
        <v>0</v>
      </c>
      <c r="E18" s="2" t="n">
        <f aca="false">INDEX(Задача2!$B$7:$K$7,6)</f>
        <v>0</v>
      </c>
      <c r="F18" s="5" t="n">
        <f aca="false">(C18+D18+E18)/3</f>
        <v>0</v>
      </c>
    </row>
    <row r="19" customFormat="false" ht="15" hidden="false" customHeight="false" outlineLevel="0" collapsed="false">
      <c r="A19" s="2" t="n">
        <v>18</v>
      </c>
      <c r="B19" s="2" t="str">
        <f aca="false">INDEX(Задача2!$B$6:$K$6,1)&amp;"-"&amp;INDEX(Задача2!$B$6:$K$6,4)&amp;"-"&amp;INDEX(Задача2!$B$6:$K$6,7)</f>
        <v>12-24-64</v>
      </c>
      <c r="C19" s="2" t="n">
        <f aca="false">INDEX(Задача2!$B$7:$K$7,1)</f>
        <v>0</v>
      </c>
      <c r="D19" s="2" t="n">
        <f aca="false">INDEX(Задача2!$B$7:$K$7,4)</f>
        <v>0</v>
      </c>
      <c r="E19" s="2" t="n">
        <f aca="false">INDEX(Задача2!$B$7:$K$7,7)</f>
        <v>0</v>
      </c>
      <c r="F19" s="5" t="n">
        <f aca="false">(C19+D19+E19)/3</f>
        <v>0</v>
      </c>
    </row>
    <row r="20" customFormat="false" ht="15" hidden="false" customHeight="false" outlineLevel="0" collapsed="false">
      <c r="A20" s="2" t="n">
        <v>19</v>
      </c>
      <c r="B20" s="2" t="str">
        <f aca="false">INDEX(Задача2!$B$6:$K$6,1)&amp;"-"&amp;INDEX(Задача2!$B$6:$K$6,4)&amp;"-"&amp;INDEX(Задача2!$B$6:$K$6,8)</f>
        <v>12-24-67</v>
      </c>
      <c r="C20" s="2" t="n">
        <f aca="false">INDEX(Задача2!$B$7:$K$7,1)</f>
        <v>0</v>
      </c>
      <c r="D20" s="2" t="n">
        <f aca="false">INDEX(Задача2!$B$7:$K$7,4)</f>
        <v>0</v>
      </c>
      <c r="E20" s="2" t="n">
        <f aca="false">INDEX(Задача2!$B$7:$K$7,8)</f>
        <v>0</v>
      </c>
      <c r="F20" s="5" t="n">
        <f aca="false">(C20+D20+E20)/3</f>
        <v>0</v>
      </c>
    </row>
    <row r="21" customFormat="false" ht="15" hidden="false" customHeight="false" outlineLevel="0" collapsed="false">
      <c r="A21" s="2" t="n">
        <v>20</v>
      </c>
      <c r="B21" s="2" t="str">
        <f aca="false">INDEX(Задача2!$B$6:$K$6,1)&amp;"-"&amp;INDEX(Задача2!$B$6:$K$6,4)&amp;"-"&amp;INDEX(Задача2!$B$6:$K$6,9)</f>
        <v>12-24-71</v>
      </c>
      <c r="C21" s="2" t="n">
        <f aca="false">INDEX(Задача2!$B$7:$K$7,1)</f>
        <v>0</v>
      </c>
      <c r="D21" s="2" t="n">
        <f aca="false">INDEX(Задача2!$B$7:$K$7,4)</f>
        <v>0</v>
      </c>
      <c r="E21" s="2" t="n">
        <f aca="false">INDEX(Задача2!$B$7:$K$7,9)</f>
        <v>0</v>
      </c>
      <c r="F21" s="5" t="n">
        <f aca="false">(C21+D21+E21)/3</f>
        <v>0</v>
      </c>
    </row>
    <row r="22" customFormat="false" ht="15" hidden="false" customHeight="false" outlineLevel="0" collapsed="false">
      <c r="A22" s="2" t="n">
        <v>21</v>
      </c>
      <c r="B22" s="2" t="str">
        <f aca="false">INDEX(Задача2!$B$6:$K$6,1)&amp;"-"&amp;INDEX(Задача2!$B$6:$K$6,4)&amp;"-"&amp;INDEX(Задача2!$B$6:$K$6,10)</f>
        <v>12-24-91</v>
      </c>
      <c r="C22" s="2" t="n">
        <f aca="false">INDEX(Задача2!$B$7:$K$7,1)</f>
        <v>0</v>
      </c>
      <c r="D22" s="2" t="n">
        <f aca="false">INDEX(Задача2!$B$7:$K$7,4)</f>
        <v>0</v>
      </c>
      <c r="E22" s="2" t="n">
        <f aca="false">INDEX(Задача2!$B$7:$K$7,10)</f>
        <v>0</v>
      </c>
      <c r="F22" s="5" t="n">
        <f aca="false">(C22+D22+E22)/3</f>
        <v>0</v>
      </c>
    </row>
    <row r="23" customFormat="false" ht="15" hidden="false" customHeight="false" outlineLevel="0" collapsed="false">
      <c r="A23" s="2" t="n">
        <v>22</v>
      </c>
      <c r="B23" s="2" t="str">
        <f aca="false">INDEX(Задача2!$B$6:$K$6,1)&amp;"-"&amp;INDEX(Задача2!$B$6:$K$6,5)&amp;"-"&amp;INDEX(Задача2!$B$6:$K$6,6)</f>
        <v>12-32-56</v>
      </c>
      <c r="C23" s="2" t="n">
        <f aca="false">INDEX(Задача2!$B$7:$K$7,1)</f>
        <v>0</v>
      </c>
      <c r="D23" s="2" t="n">
        <f aca="false">INDEX(Задача2!$B$7:$K$7,5)</f>
        <v>0</v>
      </c>
      <c r="E23" s="2" t="n">
        <f aca="false">INDEX(Задача2!$B$7:$K$7,6)</f>
        <v>0</v>
      </c>
      <c r="F23" s="5" t="n">
        <f aca="false">(C23+D23+E23)/3</f>
        <v>0</v>
      </c>
    </row>
    <row r="24" customFormat="false" ht="15" hidden="false" customHeight="false" outlineLevel="0" collapsed="false">
      <c r="A24" s="2" t="n">
        <v>23</v>
      </c>
      <c r="B24" s="2" t="str">
        <f aca="false">INDEX(Задача2!$B$6:$K$6,1)&amp;"-"&amp;INDEX(Задача2!$B$6:$K$6,5)&amp;"-"&amp;INDEX(Задача2!$B$6:$K$6,7)</f>
        <v>12-32-64</v>
      </c>
      <c r="C24" s="2" t="n">
        <f aca="false">INDEX(Задача2!$B$7:$K$7,1)</f>
        <v>0</v>
      </c>
      <c r="D24" s="2" t="n">
        <f aca="false">INDEX(Задача2!$B$7:$K$7,5)</f>
        <v>0</v>
      </c>
      <c r="E24" s="2" t="n">
        <f aca="false">INDEX(Задача2!$B$7:$K$7,7)</f>
        <v>0</v>
      </c>
      <c r="F24" s="5" t="n">
        <f aca="false">(C24+D24+E24)/3</f>
        <v>0</v>
      </c>
    </row>
    <row r="25" customFormat="false" ht="15" hidden="false" customHeight="false" outlineLevel="0" collapsed="false">
      <c r="A25" s="2" t="n">
        <v>24</v>
      </c>
      <c r="B25" s="2" t="str">
        <f aca="false">INDEX(Задача2!$B$6:$K$6,1)&amp;"-"&amp;INDEX(Задача2!$B$6:$K$6,5)&amp;"-"&amp;INDEX(Задача2!$B$6:$K$6,8)</f>
        <v>12-32-67</v>
      </c>
      <c r="C25" s="2" t="n">
        <f aca="false">INDEX(Задача2!$B$7:$K$7,1)</f>
        <v>0</v>
      </c>
      <c r="D25" s="2" t="n">
        <f aca="false">INDEX(Задача2!$B$7:$K$7,5)</f>
        <v>0</v>
      </c>
      <c r="E25" s="2" t="n">
        <f aca="false">INDEX(Задача2!$B$7:$K$7,8)</f>
        <v>0</v>
      </c>
      <c r="F25" s="5" t="n">
        <f aca="false">(C25+D25+E25)/3</f>
        <v>0</v>
      </c>
    </row>
    <row r="26" customFormat="false" ht="15" hidden="false" customHeight="false" outlineLevel="0" collapsed="false">
      <c r="A26" s="2" t="n">
        <v>25</v>
      </c>
      <c r="B26" s="2" t="str">
        <f aca="false">INDEX(Задача2!$B$6:$K$6,1)&amp;"-"&amp;INDEX(Задача2!$B$6:$K$6,5)&amp;"-"&amp;INDEX(Задача2!$B$6:$K$6,9)</f>
        <v>12-32-71</v>
      </c>
      <c r="C26" s="2" t="n">
        <f aca="false">INDEX(Задача2!$B$7:$K$7,1)</f>
        <v>0</v>
      </c>
      <c r="D26" s="2" t="n">
        <f aca="false">INDEX(Задача2!$B$7:$K$7,5)</f>
        <v>0</v>
      </c>
      <c r="E26" s="2" t="n">
        <f aca="false">INDEX(Задача2!$B$7:$K$7,9)</f>
        <v>0</v>
      </c>
      <c r="F26" s="5" t="n">
        <f aca="false">(C26+D26+E26)/3</f>
        <v>0</v>
      </c>
    </row>
    <row r="27" customFormat="false" ht="15" hidden="false" customHeight="false" outlineLevel="0" collapsed="false">
      <c r="A27" s="2" t="n">
        <v>26</v>
      </c>
      <c r="B27" s="2" t="str">
        <f aca="false">INDEX(Задача2!$B$6:$K$6,1)&amp;"-"&amp;INDEX(Задача2!$B$6:$K$6,5)&amp;"-"&amp;INDEX(Задача2!$B$6:$K$6,10)</f>
        <v>12-32-91</v>
      </c>
      <c r="C27" s="2" t="n">
        <f aca="false">INDEX(Задача2!$B$7:$K$7,1)</f>
        <v>0</v>
      </c>
      <c r="D27" s="2" t="n">
        <f aca="false">INDEX(Задача2!$B$7:$K$7,5)</f>
        <v>0</v>
      </c>
      <c r="E27" s="2" t="n">
        <f aca="false">INDEX(Задача2!$B$7:$K$7,10)</f>
        <v>0</v>
      </c>
      <c r="F27" s="5" t="n">
        <f aca="false">(C27+D27+E27)/3</f>
        <v>0</v>
      </c>
    </row>
    <row r="28" customFormat="false" ht="15" hidden="false" customHeight="false" outlineLevel="0" collapsed="false">
      <c r="A28" s="2" t="n">
        <v>27</v>
      </c>
      <c r="B28" s="2" t="str">
        <f aca="false">INDEX(Задача2!$B$6:$K$6,1)&amp;"-"&amp;INDEX(Задача2!$B$6:$K$6,6)&amp;"-"&amp;INDEX(Задача2!$B$6:$K$6,7)</f>
        <v>12-56-64</v>
      </c>
      <c r="C28" s="2" t="n">
        <f aca="false">INDEX(Задача2!$B$7:$K$7,1)</f>
        <v>0</v>
      </c>
      <c r="D28" s="2" t="n">
        <f aca="false">INDEX(Задача2!$B$7:$K$7,6)</f>
        <v>0</v>
      </c>
      <c r="E28" s="2" t="n">
        <f aca="false">INDEX(Задача2!$B$7:$K$7,7)</f>
        <v>0</v>
      </c>
      <c r="F28" s="5" t="n">
        <f aca="false">(C28+D28+E28)/3</f>
        <v>0</v>
      </c>
    </row>
    <row r="29" customFormat="false" ht="15" hidden="false" customHeight="false" outlineLevel="0" collapsed="false">
      <c r="A29" s="2" t="n">
        <v>28</v>
      </c>
      <c r="B29" s="2" t="str">
        <f aca="false">INDEX(Задача2!$B$6:$K$6,1)&amp;"-"&amp;INDEX(Задача2!$B$6:$K$6,6)&amp;"-"&amp;INDEX(Задача2!$B$6:$K$6,8)</f>
        <v>12-56-67</v>
      </c>
      <c r="C29" s="2" t="n">
        <f aca="false">INDEX(Задача2!$B$7:$K$7,1)</f>
        <v>0</v>
      </c>
      <c r="D29" s="2" t="n">
        <f aca="false">INDEX(Задача2!$B$7:$K$7,6)</f>
        <v>0</v>
      </c>
      <c r="E29" s="2" t="n">
        <f aca="false">INDEX(Задача2!$B$7:$K$7,8)</f>
        <v>0</v>
      </c>
      <c r="F29" s="5" t="n">
        <f aca="false">(C29+D29+E29)/3</f>
        <v>0</v>
      </c>
    </row>
    <row r="30" customFormat="false" ht="15" hidden="false" customHeight="false" outlineLevel="0" collapsed="false">
      <c r="A30" s="2" t="n">
        <v>29</v>
      </c>
      <c r="B30" s="2" t="str">
        <f aca="false">INDEX(Задача2!$B$6:$K$6,1)&amp;"-"&amp;INDEX(Задача2!$B$6:$K$6,6)&amp;"-"&amp;INDEX(Задача2!$B$6:$K$6,9)</f>
        <v>12-56-71</v>
      </c>
      <c r="C30" s="2" t="n">
        <f aca="false">INDEX(Задача2!$B$7:$K$7,1)</f>
        <v>0</v>
      </c>
      <c r="D30" s="2" t="n">
        <f aca="false">INDEX(Задача2!$B$7:$K$7,6)</f>
        <v>0</v>
      </c>
      <c r="E30" s="2" t="n">
        <f aca="false">INDEX(Задача2!$B$7:$K$7,9)</f>
        <v>0</v>
      </c>
      <c r="F30" s="5" t="n">
        <f aca="false">(C30+D30+E30)/3</f>
        <v>0</v>
      </c>
    </row>
    <row r="31" customFormat="false" ht="15" hidden="false" customHeight="false" outlineLevel="0" collapsed="false">
      <c r="A31" s="2" t="n">
        <v>30</v>
      </c>
      <c r="B31" s="2" t="str">
        <f aca="false">INDEX(Задача2!$B$6:$K$6,1)&amp;"-"&amp;INDEX(Задача2!$B$6:$K$6,6)&amp;"-"&amp;INDEX(Задача2!$B$6:$K$6,10)</f>
        <v>12-56-91</v>
      </c>
      <c r="C31" s="2" t="n">
        <f aca="false">INDEX(Задача2!$B$7:$K$7,1)</f>
        <v>0</v>
      </c>
      <c r="D31" s="2" t="n">
        <f aca="false">INDEX(Задача2!$B$7:$K$7,6)</f>
        <v>0</v>
      </c>
      <c r="E31" s="2" t="n">
        <f aca="false">INDEX(Задача2!$B$7:$K$7,10)</f>
        <v>0</v>
      </c>
      <c r="F31" s="5" t="n">
        <f aca="false">(C31+D31+E31)/3</f>
        <v>0</v>
      </c>
    </row>
    <row r="32" customFormat="false" ht="15" hidden="false" customHeight="false" outlineLevel="0" collapsed="false">
      <c r="A32" s="2" t="n">
        <v>31</v>
      </c>
      <c r="B32" s="2" t="str">
        <f aca="false">INDEX(Задача2!$B$6:$K$6,1)&amp;"-"&amp;INDEX(Задача2!$B$6:$K$6,7)&amp;"-"&amp;INDEX(Задача2!$B$6:$K$6,8)</f>
        <v>12-64-67</v>
      </c>
      <c r="C32" s="2" t="n">
        <f aca="false">INDEX(Задача2!$B$7:$K$7,1)</f>
        <v>0</v>
      </c>
      <c r="D32" s="2" t="n">
        <f aca="false">INDEX(Задача2!$B$7:$K$7,7)</f>
        <v>0</v>
      </c>
      <c r="E32" s="2" t="n">
        <f aca="false">INDEX(Задача2!$B$7:$K$7,8)</f>
        <v>0</v>
      </c>
      <c r="F32" s="5" t="n">
        <f aca="false">(C32+D32+E32)/3</f>
        <v>0</v>
      </c>
    </row>
    <row r="33" customFormat="false" ht="15" hidden="false" customHeight="false" outlineLevel="0" collapsed="false">
      <c r="A33" s="2" t="n">
        <v>32</v>
      </c>
      <c r="B33" s="2" t="str">
        <f aca="false">INDEX(Задача2!$B$6:$K$6,1)&amp;"-"&amp;INDEX(Задача2!$B$6:$K$6,7)&amp;"-"&amp;INDEX(Задача2!$B$6:$K$6,9)</f>
        <v>12-64-71</v>
      </c>
      <c r="C33" s="2" t="n">
        <f aca="false">INDEX(Задача2!$B$7:$K$7,1)</f>
        <v>0</v>
      </c>
      <c r="D33" s="2" t="n">
        <f aca="false">INDEX(Задача2!$B$7:$K$7,7)</f>
        <v>0</v>
      </c>
      <c r="E33" s="2" t="n">
        <f aca="false">INDEX(Задача2!$B$7:$K$7,9)</f>
        <v>0</v>
      </c>
      <c r="F33" s="5" t="n">
        <f aca="false">(C33+D33+E33)/3</f>
        <v>0</v>
      </c>
    </row>
    <row r="34" customFormat="false" ht="15" hidden="false" customHeight="false" outlineLevel="0" collapsed="false">
      <c r="A34" s="2" t="n">
        <v>33</v>
      </c>
      <c r="B34" s="2" t="str">
        <f aca="false">INDEX(Задача2!$B$6:$K$6,1)&amp;"-"&amp;INDEX(Задача2!$B$6:$K$6,7)&amp;"-"&amp;INDEX(Задача2!$B$6:$K$6,10)</f>
        <v>12-64-91</v>
      </c>
      <c r="C34" s="2" t="n">
        <f aca="false">INDEX(Задача2!$B$7:$K$7,1)</f>
        <v>0</v>
      </c>
      <c r="D34" s="2" t="n">
        <f aca="false">INDEX(Задача2!$B$7:$K$7,7)</f>
        <v>0</v>
      </c>
      <c r="E34" s="2" t="n">
        <f aca="false">INDEX(Задача2!$B$7:$K$7,10)</f>
        <v>0</v>
      </c>
      <c r="F34" s="5" t="n">
        <f aca="false">(C34+D34+E34)/3</f>
        <v>0</v>
      </c>
    </row>
    <row r="35" customFormat="false" ht="15" hidden="false" customHeight="false" outlineLevel="0" collapsed="false">
      <c r="A35" s="2" t="n">
        <v>34</v>
      </c>
      <c r="B35" s="2" t="str">
        <f aca="false">INDEX(Задача2!$B$6:$K$6,1)&amp;"-"&amp;INDEX(Задача2!$B$6:$K$6,8)&amp;"-"&amp;INDEX(Задача2!$B$6:$K$6,9)</f>
        <v>12-67-71</v>
      </c>
      <c r="C35" s="2" t="n">
        <f aca="false">INDEX(Задача2!$B$7:$K$7,1)</f>
        <v>0</v>
      </c>
      <c r="D35" s="2" t="n">
        <f aca="false">INDEX(Задача2!$B$7:$K$7,8)</f>
        <v>0</v>
      </c>
      <c r="E35" s="2" t="n">
        <f aca="false">INDEX(Задача2!$B$7:$K$7,9)</f>
        <v>0</v>
      </c>
      <c r="F35" s="5" t="n">
        <f aca="false">(C35+D35+E35)/3</f>
        <v>0</v>
      </c>
    </row>
    <row r="36" customFormat="false" ht="15" hidden="false" customHeight="false" outlineLevel="0" collapsed="false">
      <c r="A36" s="2" t="n">
        <v>35</v>
      </c>
      <c r="B36" s="2" t="str">
        <f aca="false">INDEX(Задача2!$B$6:$K$6,1)&amp;"-"&amp;INDEX(Задача2!$B$6:$K$6,8)&amp;"-"&amp;INDEX(Задача2!$B$6:$K$6,10)</f>
        <v>12-67-91</v>
      </c>
      <c r="C36" s="2" t="n">
        <f aca="false">INDEX(Задача2!$B$7:$K$7,1)</f>
        <v>0</v>
      </c>
      <c r="D36" s="2" t="n">
        <f aca="false">INDEX(Задача2!$B$7:$K$7,8)</f>
        <v>0</v>
      </c>
      <c r="E36" s="2" t="n">
        <f aca="false">INDEX(Задача2!$B$7:$K$7,10)</f>
        <v>0</v>
      </c>
      <c r="F36" s="5" t="n">
        <f aca="false">(C36+D36+E36)/3</f>
        <v>0</v>
      </c>
    </row>
    <row r="37" customFormat="false" ht="15" hidden="false" customHeight="false" outlineLevel="0" collapsed="false">
      <c r="A37" s="2" t="n">
        <v>36</v>
      </c>
      <c r="B37" s="2" t="str">
        <f aca="false">INDEX(Задача2!$B$6:$K$6,1)&amp;"-"&amp;INDEX(Задача2!$B$6:$K$6,9)&amp;"-"&amp;INDEX(Задача2!$B$6:$K$6,10)</f>
        <v>12-71-91</v>
      </c>
      <c r="C37" s="2" t="n">
        <f aca="false">INDEX(Задача2!$B$7:$K$7,1)</f>
        <v>0</v>
      </c>
      <c r="D37" s="2" t="n">
        <f aca="false">INDEX(Задача2!$B$7:$K$7,9)</f>
        <v>0</v>
      </c>
      <c r="E37" s="2" t="n">
        <f aca="false">INDEX(Задача2!$B$7:$K$7,10)</f>
        <v>0</v>
      </c>
      <c r="F37" s="5" t="n">
        <f aca="false">(C37+D37+E37)/3</f>
        <v>0</v>
      </c>
    </row>
    <row r="38" customFormat="false" ht="15" hidden="false" customHeight="false" outlineLevel="0" collapsed="false">
      <c r="A38" s="2" t="n">
        <v>37</v>
      </c>
      <c r="B38" s="2" t="str">
        <f aca="false">INDEX(Задача2!$B$6:$K$6,2)&amp;"-"&amp;INDEX(Задача2!$B$6:$K$6,3)&amp;"-"&amp;INDEX(Задача2!$B$6:$K$6,4)</f>
        <v>14-18-24</v>
      </c>
      <c r="C38" s="2" t="n">
        <f aca="false">INDEX(Задача2!$B$7:$K$7,2)</f>
        <v>0</v>
      </c>
      <c r="D38" s="2" t="n">
        <f aca="false">INDEX(Задача2!$B$7:$K$7,3)</f>
        <v>0</v>
      </c>
      <c r="E38" s="2" t="n">
        <f aca="false">INDEX(Задача2!$B$7:$K$7,4)</f>
        <v>0</v>
      </c>
      <c r="F38" s="5" t="n">
        <f aca="false">(C38+D38+E38)/3</f>
        <v>0</v>
      </c>
    </row>
    <row r="39" customFormat="false" ht="15" hidden="false" customHeight="false" outlineLevel="0" collapsed="false">
      <c r="A39" s="2" t="n">
        <v>38</v>
      </c>
      <c r="B39" s="2" t="str">
        <f aca="false">INDEX(Задача2!$B$6:$K$6,2)&amp;"-"&amp;INDEX(Задача2!$B$6:$K$6,3)&amp;"-"&amp;INDEX(Задача2!$B$6:$K$6,5)</f>
        <v>14-18-32</v>
      </c>
      <c r="C39" s="2" t="n">
        <f aca="false">INDEX(Задача2!$B$7:$K$7,2)</f>
        <v>0</v>
      </c>
      <c r="D39" s="2" t="n">
        <f aca="false">INDEX(Задача2!$B$7:$K$7,3)</f>
        <v>0</v>
      </c>
      <c r="E39" s="2" t="n">
        <f aca="false">INDEX(Задача2!$B$7:$K$7,5)</f>
        <v>0</v>
      </c>
      <c r="F39" s="5" t="n">
        <f aca="false">(C39+D39+E39)/3</f>
        <v>0</v>
      </c>
    </row>
    <row r="40" customFormat="false" ht="15" hidden="false" customHeight="false" outlineLevel="0" collapsed="false">
      <c r="A40" s="2" t="n">
        <v>39</v>
      </c>
      <c r="B40" s="2" t="str">
        <f aca="false">INDEX(Задача2!$B$6:$K$6,2)&amp;"-"&amp;INDEX(Задача2!$B$6:$K$6,3)&amp;"-"&amp;INDEX(Задача2!$B$6:$K$6,6)</f>
        <v>14-18-56</v>
      </c>
      <c r="C40" s="2" t="n">
        <f aca="false">INDEX(Задача2!$B$7:$K$7,2)</f>
        <v>0</v>
      </c>
      <c r="D40" s="2" t="n">
        <f aca="false">INDEX(Задача2!$B$7:$K$7,3)</f>
        <v>0</v>
      </c>
      <c r="E40" s="2" t="n">
        <f aca="false">INDEX(Задача2!$B$7:$K$7,6)</f>
        <v>0</v>
      </c>
      <c r="F40" s="5" t="n">
        <f aca="false">(C40+D40+E40)/3</f>
        <v>0</v>
      </c>
    </row>
    <row r="41" customFormat="false" ht="15" hidden="false" customHeight="false" outlineLevel="0" collapsed="false">
      <c r="A41" s="2" t="n">
        <v>40</v>
      </c>
      <c r="B41" s="2" t="str">
        <f aca="false">INDEX(Задача2!$B$6:$K$6,2)&amp;"-"&amp;INDEX(Задача2!$B$6:$K$6,3)&amp;"-"&amp;INDEX(Задача2!$B$6:$K$6,7)</f>
        <v>14-18-64</v>
      </c>
      <c r="C41" s="2" t="n">
        <f aca="false">INDEX(Задача2!$B$7:$K$7,2)</f>
        <v>0</v>
      </c>
      <c r="D41" s="2" t="n">
        <f aca="false">INDEX(Задача2!$B$7:$K$7,3)</f>
        <v>0</v>
      </c>
      <c r="E41" s="2" t="n">
        <f aca="false">INDEX(Задача2!$B$7:$K$7,7)</f>
        <v>0</v>
      </c>
      <c r="F41" s="5" t="n">
        <f aca="false">(C41+D41+E41)/3</f>
        <v>0</v>
      </c>
    </row>
    <row r="42" customFormat="false" ht="15" hidden="false" customHeight="false" outlineLevel="0" collapsed="false">
      <c r="A42" s="2" t="n">
        <v>41</v>
      </c>
      <c r="B42" s="2" t="str">
        <f aca="false">INDEX(Задача2!$B$6:$K$6,2)&amp;"-"&amp;INDEX(Задача2!$B$6:$K$6,3)&amp;"-"&amp;INDEX(Задача2!$B$6:$K$6,8)</f>
        <v>14-18-67</v>
      </c>
      <c r="C42" s="2" t="n">
        <f aca="false">INDEX(Задача2!$B$7:$K$7,2)</f>
        <v>0</v>
      </c>
      <c r="D42" s="2" t="n">
        <f aca="false">INDEX(Задача2!$B$7:$K$7,3)</f>
        <v>0</v>
      </c>
      <c r="E42" s="2" t="n">
        <f aca="false">INDEX(Задача2!$B$7:$K$7,8)</f>
        <v>0</v>
      </c>
      <c r="F42" s="5" t="n">
        <f aca="false">(C42+D42+E42)/3</f>
        <v>0</v>
      </c>
    </row>
    <row r="43" customFormat="false" ht="15" hidden="false" customHeight="false" outlineLevel="0" collapsed="false">
      <c r="A43" s="2" t="n">
        <v>42</v>
      </c>
      <c r="B43" s="2" t="str">
        <f aca="false">INDEX(Задача2!$B$6:$K$6,2)&amp;"-"&amp;INDEX(Задача2!$B$6:$K$6,3)&amp;"-"&amp;INDEX(Задача2!$B$6:$K$6,9)</f>
        <v>14-18-71</v>
      </c>
      <c r="C43" s="2" t="n">
        <f aca="false">INDEX(Задача2!$B$7:$K$7,2)</f>
        <v>0</v>
      </c>
      <c r="D43" s="2" t="n">
        <f aca="false">INDEX(Задача2!$B$7:$K$7,3)</f>
        <v>0</v>
      </c>
      <c r="E43" s="2" t="n">
        <f aca="false">INDEX(Задача2!$B$7:$K$7,9)</f>
        <v>0</v>
      </c>
      <c r="F43" s="5" t="n">
        <f aca="false">(C43+D43+E43)/3</f>
        <v>0</v>
      </c>
    </row>
    <row r="44" customFormat="false" ht="15" hidden="false" customHeight="false" outlineLevel="0" collapsed="false">
      <c r="A44" s="2" t="n">
        <v>43</v>
      </c>
      <c r="B44" s="2" t="str">
        <f aca="false">INDEX(Задача2!$B$6:$K$6,2)&amp;"-"&amp;INDEX(Задача2!$B$6:$K$6,3)&amp;"-"&amp;INDEX(Задача2!$B$6:$K$6,10)</f>
        <v>14-18-91</v>
      </c>
      <c r="C44" s="2" t="n">
        <f aca="false">INDEX(Задача2!$B$7:$K$7,2)</f>
        <v>0</v>
      </c>
      <c r="D44" s="2" t="n">
        <f aca="false">INDEX(Задача2!$B$7:$K$7,3)</f>
        <v>0</v>
      </c>
      <c r="E44" s="2" t="n">
        <f aca="false">INDEX(Задача2!$B$7:$K$7,10)</f>
        <v>0</v>
      </c>
      <c r="F44" s="5" t="n">
        <f aca="false">(C44+D44+E44)/3</f>
        <v>0</v>
      </c>
    </row>
    <row r="45" customFormat="false" ht="15" hidden="false" customHeight="false" outlineLevel="0" collapsed="false">
      <c r="A45" s="2" t="n">
        <v>44</v>
      </c>
      <c r="B45" s="2" t="str">
        <f aca="false">INDEX(Задача2!$B$6:$K$6,2)&amp;"-"&amp;INDEX(Задача2!$B$6:$K$6,4)&amp;"-"&amp;INDEX(Задача2!$B$6:$K$6,5)</f>
        <v>14-24-32</v>
      </c>
      <c r="C45" s="2" t="n">
        <f aca="false">INDEX(Задача2!$B$7:$K$7,2)</f>
        <v>0</v>
      </c>
      <c r="D45" s="2" t="n">
        <f aca="false">INDEX(Задача2!$B$7:$K$7,4)</f>
        <v>0</v>
      </c>
      <c r="E45" s="2" t="n">
        <f aca="false">INDEX(Задача2!$B$7:$K$7,5)</f>
        <v>0</v>
      </c>
      <c r="F45" s="5" t="n">
        <f aca="false">(C45+D45+E45)/3</f>
        <v>0</v>
      </c>
    </row>
    <row r="46" customFormat="false" ht="15" hidden="false" customHeight="false" outlineLevel="0" collapsed="false">
      <c r="A46" s="2" t="n">
        <v>45</v>
      </c>
      <c r="B46" s="2" t="str">
        <f aca="false">INDEX(Задача2!$B$6:$K$6,2)&amp;"-"&amp;INDEX(Задача2!$B$6:$K$6,4)&amp;"-"&amp;INDEX(Задача2!$B$6:$K$6,6)</f>
        <v>14-24-56</v>
      </c>
      <c r="C46" s="2" t="n">
        <f aca="false">INDEX(Задача2!$B$7:$K$7,2)</f>
        <v>0</v>
      </c>
      <c r="D46" s="2" t="n">
        <f aca="false">INDEX(Задача2!$B$7:$K$7,4)</f>
        <v>0</v>
      </c>
      <c r="E46" s="2" t="n">
        <f aca="false">INDEX(Задача2!$B$7:$K$7,6)</f>
        <v>0</v>
      </c>
      <c r="F46" s="5" t="n">
        <f aca="false">(C46+D46+E46)/3</f>
        <v>0</v>
      </c>
    </row>
    <row r="47" customFormat="false" ht="15" hidden="false" customHeight="false" outlineLevel="0" collapsed="false">
      <c r="A47" s="2" t="n">
        <v>46</v>
      </c>
      <c r="B47" s="2" t="str">
        <f aca="false">INDEX(Задача2!$B$6:$K$6,2)&amp;"-"&amp;INDEX(Задача2!$B$6:$K$6,4)&amp;"-"&amp;INDEX(Задача2!$B$6:$K$6,7)</f>
        <v>14-24-64</v>
      </c>
      <c r="C47" s="2" t="n">
        <f aca="false">INDEX(Задача2!$B$7:$K$7,2)</f>
        <v>0</v>
      </c>
      <c r="D47" s="2" t="n">
        <f aca="false">INDEX(Задача2!$B$7:$K$7,4)</f>
        <v>0</v>
      </c>
      <c r="E47" s="2" t="n">
        <f aca="false">INDEX(Задача2!$B$7:$K$7,7)</f>
        <v>0</v>
      </c>
      <c r="F47" s="5" t="n">
        <f aca="false">(C47+D47+E47)/3</f>
        <v>0</v>
      </c>
    </row>
    <row r="48" customFormat="false" ht="15" hidden="false" customHeight="false" outlineLevel="0" collapsed="false">
      <c r="A48" s="2" t="n">
        <v>47</v>
      </c>
      <c r="B48" s="2" t="str">
        <f aca="false">INDEX(Задача2!$B$6:$K$6,2)&amp;"-"&amp;INDEX(Задача2!$B$6:$K$6,4)&amp;"-"&amp;INDEX(Задача2!$B$6:$K$6,8)</f>
        <v>14-24-67</v>
      </c>
      <c r="C48" s="2" t="n">
        <f aca="false">INDEX(Задача2!$B$7:$K$7,2)</f>
        <v>0</v>
      </c>
      <c r="D48" s="2" t="n">
        <f aca="false">INDEX(Задача2!$B$7:$K$7,4)</f>
        <v>0</v>
      </c>
      <c r="E48" s="2" t="n">
        <f aca="false">INDEX(Задача2!$B$7:$K$7,8)</f>
        <v>0</v>
      </c>
      <c r="F48" s="5" t="n">
        <f aca="false">(C48+D48+E48)/3</f>
        <v>0</v>
      </c>
    </row>
    <row r="49" customFormat="false" ht="15" hidden="false" customHeight="false" outlineLevel="0" collapsed="false">
      <c r="A49" s="2" t="n">
        <v>48</v>
      </c>
      <c r="B49" s="2" t="str">
        <f aca="false">INDEX(Задача2!$B$6:$K$6,2)&amp;"-"&amp;INDEX(Задача2!$B$6:$K$6,4)&amp;"-"&amp;INDEX(Задача2!$B$6:$K$6,9)</f>
        <v>14-24-71</v>
      </c>
      <c r="C49" s="2" t="n">
        <f aca="false">INDEX(Задача2!$B$7:$K$7,2)</f>
        <v>0</v>
      </c>
      <c r="D49" s="2" t="n">
        <f aca="false">INDEX(Задача2!$B$7:$K$7,4)</f>
        <v>0</v>
      </c>
      <c r="E49" s="2" t="n">
        <f aca="false">INDEX(Задача2!$B$7:$K$7,9)</f>
        <v>0</v>
      </c>
      <c r="F49" s="5" t="n">
        <f aca="false">(C49+D49+E49)/3</f>
        <v>0</v>
      </c>
    </row>
    <row r="50" customFormat="false" ht="15" hidden="false" customHeight="false" outlineLevel="0" collapsed="false">
      <c r="A50" s="2" t="n">
        <v>49</v>
      </c>
      <c r="B50" s="2" t="str">
        <f aca="false">INDEX(Задача2!$B$6:$K$6,2)&amp;"-"&amp;INDEX(Задача2!$B$6:$K$6,4)&amp;"-"&amp;INDEX(Задача2!$B$6:$K$6,10)</f>
        <v>14-24-91</v>
      </c>
      <c r="C50" s="2" t="n">
        <f aca="false">INDEX(Задача2!$B$7:$K$7,2)</f>
        <v>0</v>
      </c>
      <c r="D50" s="2" t="n">
        <f aca="false">INDEX(Задача2!$B$7:$K$7,4)</f>
        <v>0</v>
      </c>
      <c r="E50" s="2" t="n">
        <f aca="false">INDEX(Задача2!$B$7:$K$7,10)</f>
        <v>0</v>
      </c>
      <c r="F50" s="5" t="n">
        <f aca="false">(C50+D50+E50)/3</f>
        <v>0</v>
      </c>
    </row>
    <row r="51" customFormat="false" ht="15" hidden="false" customHeight="false" outlineLevel="0" collapsed="false">
      <c r="A51" s="2" t="n">
        <v>50</v>
      </c>
      <c r="B51" s="2" t="str">
        <f aca="false">INDEX(Задача2!$B$6:$K$6,2)&amp;"-"&amp;INDEX(Задача2!$B$6:$K$6,5)&amp;"-"&amp;INDEX(Задача2!$B$6:$K$6,6)</f>
        <v>14-32-56</v>
      </c>
      <c r="C51" s="2" t="n">
        <f aca="false">INDEX(Задача2!$B$7:$K$7,2)</f>
        <v>0</v>
      </c>
      <c r="D51" s="2" t="n">
        <f aca="false">INDEX(Задача2!$B$7:$K$7,5)</f>
        <v>0</v>
      </c>
      <c r="E51" s="2" t="n">
        <f aca="false">INDEX(Задача2!$B$7:$K$7,6)</f>
        <v>0</v>
      </c>
      <c r="F51" s="5" t="n">
        <f aca="false">(C51+D51+E51)/3</f>
        <v>0</v>
      </c>
    </row>
    <row r="52" customFormat="false" ht="15" hidden="false" customHeight="false" outlineLevel="0" collapsed="false">
      <c r="A52" s="2" t="n">
        <v>51</v>
      </c>
      <c r="B52" s="2" t="str">
        <f aca="false">INDEX(Задача2!$B$6:$K$6,2)&amp;"-"&amp;INDEX(Задача2!$B$6:$K$6,5)&amp;"-"&amp;INDEX(Задача2!$B$6:$K$6,7)</f>
        <v>14-32-64</v>
      </c>
      <c r="C52" s="2" t="n">
        <f aca="false">INDEX(Задача2!$B$7:$K$7,2)</f>
        <v>0</v>
      </c>
      <c r="D52" s="2" t="n">
        <f aca="false">INDEX(Задача2!$B$7:$K$7,5)</f>
        <v>0</v>
      </c>
      <c r="E52" s="2" t="n">
        <f aca="false">INDEX(Задача2!$B$7:$K$7,7)</f>
        <v>0</v>
      </c>
      <c r="F52" s="5" t="n">
        <f aca="false">(C52+D52+E52)/3</f>
        <v>0</v>
      </c>
    </row>
    <row r="53" customFormat="false" ht="15" hidden="false" customHeight="false" outlineLevel="0" collapsed="false">
      <c r="A53" s="2" t="n">
        <v>52</v>
      </c>
      <c r="B53" s="2" t="str">
        <f aca="false">INDEX(Задача2!$B$6:$K$6,2)&amp;"-"&amp;INDEX(Задача2!$B$6:$K$6,5)&amp;"-"&amp;INDEX(Задача2!$B$6:$K$6,8)</f>
        <v>14-32-67</v>
      </c>
      <c r="C53" s="2" t="n">
        <f aca="false">INDEX(Задача2!$B$7:$K$7,2)</f>
        <v>0</v>
      </c>
      <c r="D53" s="2" t="n">
        <f aca="false">INDEX(Задача2!$B$7:$K$7,5)</f>
        <v>0</v>
      </c>
      <c r="E53" s="2" t="n">
        <f aca="false">INDEX(Задача2!$B$7:$K$7,8)</f>
        <v>0</v>
      </c>
      <c r="F53" s="5" t="n">
        <f aca="false">(C53+D53+E53)/3</f>
        <v>0</v>
      </c>
    </row>
    <row r="54" customFormat="false" ht="15" hidden="false" customHeight="false" outlineLevel="0" collapsed="false">
      <c r="A54" s="2" t="n">
        <v>53</v>
      </c>
      <c r="B54" s="2" t="str">
        <f aca="false">INDEX(Задача2!$B$6:$K$6,2)&amp;"-"&amp;INDEX(Задача2!$B$6:$K$6,5)&amp;"-"&amp;INDEX(Задача2!$B$6:$K$6,9)</f>
        <v>14-32-71</v>
      </c>
      <c r="C54" s="2" t="n">
        <f aca="false">INDEX(Задача2!$B$7:$K$7,2)</f>
        <v>0</v>
      </c>
      <c r="D54" s="2" t="n">
        <f aca="false">INDEX(Задача2!$B$7:$K$7,5)</f>
        <v>0</v>
      </c>
      <c r="E54" s="2" t="n">
        <f aca="false">INDEX(Задача2!$B$7:$K$7,9)</f>
        <v>0</v>
      </c>
      <c r="F54" s="5" t="n">
        <f aca="false">(C54+D54+E54)/3</f>
        <v>0</v>
      </c>
    </row>
    <row r="55" customFormat="false" ht="15" hidden="false" customHeight="false" outlineLevel="0" collapsed="false">
      <c r="A55" s="2" t="n">
        <v>54</v>
      </c>
      <c r="B55" s="2" t="str">
        <f aca="false">INDEX(Задача2!$B$6:$K$6,2)&amp;"-"&amp;INDEX(Задача2!$B$6:$K$6,5)&amp;"-"&amp;INDEX(Задача2!$B$6:$K$6,10)</f>
        <v>14-32-91</v>
      </c>
      <c r="C55" s="2" t="n">
        <f aca="false">INDEX(Задача2!$B$7:$K$7,2)</f>
        <v>0</v>
      </c>
      <c r="D55" s="2" t="n">
        <f aca="false">INDEX(Задача2!$B$7:$K$7,5)</f>
        <v>0</v>
      </c>
      <c r="E55" s="2" t="n">
        <f aca="false">INDEX(Задача2!$B$7:$K$7,10)</f>
        <v>0</v>
      </c>
      <c r="F55" s="5" t="n">
        <f aca="false">(C55+D55+E55)/3</f>
        <v>0</v>
      </c>
    </row>
    <row r="56" customFormat="false" ht="15" hidden="false" customHeight="false" outlineLevel="0" collapsed="false">
      <c r="A56" s="2" t="n">
        <v>55</v>
      </c>
      <c r="B56" s="2" t="str">
        <f aca="false">INDEX(Задача2!$B$6:$K$6,2)&amp;"-"&amp;INDEX(Задача2!$B$6:$K$6,6)&amp;"-"&amp;INDEX(Задача2!$B$6:$K$6,7)</f>
        <v>14-56-64</v>
      </c>
      <c r="C56" s="2" t="n">
        <f aca="false">INDEX(Задача2!$B$7:$K$7,2)</f>
        <v>0</v>
      </c>
      <c r="D56" s="2" t="n">
        <f aca="false">INDEX(Задача2!$B$7:$K$7,6)</f>
        <v>0</v>
      </c>
      <c r="E56" s="2" t="n">
        <f aca="false">INDEX(Задача2!$B$7:$K$7,7)</f>
        <v>0</v>
      </c>
      <c r="F56" s="5" t="n">
        <f aca="false">(C56+D56+E56)/3</f>
        <v>0</v>
      </c>
    </row>
    <row r="57" customFormat="false" ht="15" hidden="false" customHeight="false" outlineLevel="0" collapsed="false">
      <c r="A57" s="2" t="n">
        <v>56</v>
      </c>
      <c r="B57" s="2" t="str">
        <f aca="false">INDEX(Задача2!$B$6:$K$6,2)&amp;"-"&amp;INDEX(Задача2!$B$6:$K$6,6)&amp;"-"&amp;INDEX(Задача2!$B$6:$K$6,8)</f>
        <v>14-56-67</v>
      </c>
      <c r="C57" s="2" t="n">
        <f aca="false">INDEX(Задача2!$B$7:$K$7,2)</f>
        <v>0</v>
      </c>
      <c r="D57" s="2" t="n">
        <f aca="false">INDEX(Задача2!$B$7:$K$7,6)</f>
        <v>0</v>
      </c>
      <c r="E57" s="2" t="n">
        <f aca="false">INDEX(Задача2!$B$7:$K$7,8)</f>
        <v>0</v>
      </c>
      <c r="F57" s="5" t="n">
        <f aca="false">(C57+D57+E57)/3</f>
        <v>0</v>
      </c>
    </row>
    <row r="58" customFormat="false" ht="15" hidden="false" customHeight="false" outlineLevel="0" collapsed="false">
      <c r="A58" s="2" t="n">
        <v>57</v>
      </c>
      <c r="B58" s="2" t="str">
        <f aca="false">INDEX(Задача2!$B$6:$K$6,2)&amp;"-"&amp;INDEX(Задача2!$B$6:$K$6,6)&amp;"-"&amp;INDEX(Задача2!$B$6:$K$6,9)</f>
        <v>14-56-71</v>
      </c>
      <c r="C58" s="2" t="n">
        <f aca="false">INDEX(Задача2!$B$7:$K$7,2)</f>
        <v>0</v>
      </c>
      <c r="D58" s="2" t="n">
        <f aca="false">INDEX(Задача2!$B$7:$K$7,6)</f>
        <v>0</v>
      </c>
      <c r="E58" s="2" t="n">
        <f aca="false">INDEX(Задача2!$B$7:$K$7,9)</f>
        <v>0</v>
      </c>
      <c r="F58" s="5" t="n">
        <f aca="false">(C58+D58+E58)/3</f>
        <v>0</v>
      </c>
    </row>
    <row r="59" customFormat="false" ht="15" hidden="false" customHeight="false" outlineLevel="0" collapsed="false">
      <c r="A59" s="2" t="n">
        <v>58</v>
      </c>
      <c r="B59" s="2" t="str">
        <f aca="false">INDEX(Задача2!$B$6:$K$6,2)&amp;"-"&amp;INDEX(Задача2!$B$6:$K$6,6)&amp;"-"&amp;INDEX(Задача2!$B$6:$K$6,10)</f>
        <v>14-56-91</v>
      </c>
      <c r="C59" s="2" t="n">
        <f aca="false">INDEX(Задача2!$B$7:$K$7,2)</f>
        <v>0</v>
      </c>
      <c r="D59" s="2" t="n">
        <f aca="false">INDEX(Задача2!$B$7:$K$7,6)</f>
        <v>0</v>
      </c>
      <c r="E59" s="2" t="n">
        <f aca="false">INDEX(Задача2!$B$7:$K$7,10)</f>
        <v>0</v>
      </c>
      <c r="F59" s="5" t="n">
        <f aca="false">(C59+D59+E59)/3</f>
        <v>0</v>
      </c>
    </row>
    <row r="60" customFormat="false" ht="15" hidden="false" customHeight="false" outlineLevel="0" collapsed="false">
      <c r="A60" s="2" t="n">
        <v>59</v>
      </c>
      <c r="B60" s="2" t="str">
        <f aca="false">INDEX(Задача2!$B$6:$K$6,2)&amp;"-"&amp;INDEX(Задача2!$B$6:$K$6,7)&amp;"-"&amp;INDEX(Задача2!$B$6:$K$6,8)</f>
        <v>14-64-67</v>
      </c>
      <c r="C60" s="2" t="n">
        <f aca="false">INDEX(Задача2!$B$7:$K$7,2)</f>
        <v>0</v>
      </c>
      <c r="D60" s="2" t="n">
        <f aca="false">INDEX(Задача2!$B$7:$K$7,7)</f>
        <v>0</v>
      </c>
      <c r="E60" s="2" t="n">
        <f aca="false">INDEX(Задача2!$B$7:$K$7,8)</f>
        <v>0</v>
      </c>
      <c r="F60" s="5" t="n">
        <f aca="false">(C60+D60+E60)/3</f>
        <v>0</v>
      </c>
    </row>
    <row r="61" customFormat="false" ht="15" hidden="false" customHeight="false" outlineLevel="0" collapsed="false">
      <c r="A61" s="2" t="n">
        <v>60</v>
      </c>
      <c r="B61" s="2" t="str">
        <f aca="false">INDEX(Задача2!$B$6:$K$6,2)&amp;"-"&amp;INDEX(Задача2!$B$6:$K$6,7)&amp;"-"&amp;INDEX(Задача2!$B$6:$K$6,9)</f>
        <v>14-64-71</v>
      </c>
      <c r="C61" s="2" t="n">
        <f aca="false">INDEX(Задача2!$B$7:$K$7,2)</f>
        <v>0</v>
      </c>
      <c r="D61" s="2" t="n">
        <f aca="false">INDEX(Задача2!$B$7:$K$7,7)</f>
        <v>0</v>
      </c>
      <c r="E61" s="2" t="n">
        <f aca="false">INDEX(Задача2!$B$7:$K$7,9)</f>
        <v>0</v>
      </c>
      <c r="F61" s="5" t="n">
        <f aca="false">(C61+D61+E61)/3</f>
        <v>0</v>
      </c>
    </row>
    <row r="62" customFormat="false" ht="15" hidden="false" customHeight="false" outlineLevel="0" collapsed="false">
      <c r="A62" s="2" t="n">
        <v>61</v>
      </c>
      <c r="B62" s="2" t="str">
        <f aca="false">INDEX(Задача2!$B$6:$K$6,2)&amp;"-"&amp;INDEX(Задача2!$B$6:$K$6,7)&amp;"-"&amp;INDEX(Задача2!$B$6:$K$6,10)</f>
        <v>14-64-91</v>
      </c>
      <c r="C62" s="2" t="n">
        <f aca="false">INDEX(Задача2!$B$7:$K$7,2)</f>
        <v>0</v>
      </c>
      <c r="D62" s="2" t="n">
        <f aca="false">INDEX(Задача2!$B$7:$K$7,7)</f>
        <v>0</v>
      </c>
      <c r="E62" s="2" t="n">
        <f aca="false">INDEX(Задача2!$B$7:$K$7,10)</f>
        <v>0</v>
      </c>
      <c r="F62" s="5" t="n">
        <f aca="false">(C62+D62+E62)/3</f>
        <v>0</v>
      </c>
    </row>
    <row r="63" customFormat="false" ht="15" hidden="false" customHeight="false" outlineLevel="0" collapsed="false">
      <c r="A63" s="2" t="n">
        <v>62</v>
      </c>
      <c r="B63" s="2" t="str">
        <f aca="false">INDEX(Задача2!$B$6:$K$6,2)&amp;"-"&amp;INDEX(Задача2!$B$6:$K$6,8)&amp;"-"&amp;INDEX(Задача2!$B$6:$K$6,9)</f>
        <v>14-67-71</v>
      </c>
      <c r="C63" s="2" t="n">
        <f aca="false">INDEX(Задача2!$B$7:$K$7,2)</f>
        <v>0</v>
      </c>
      <c r="D63" s="2" t="n">
        <f aca="false">INDEX(Задача2!$B$7:$K$7,8)</f>
        <v>0</v>
      </c>
      <c r="E63" s="2" t="n">
        <f aca="false">INDEX(Задача2!$B$7:$K$7,9)</f>
        <v>0</v>
      </c>
      <c r="F63" s="5" t="n">
        <f aca="false">(C63+D63+E63)/3</f>
        <v>0</v>
      </c>
    </row>
    <row r="64" customFormat="false" ht="15" hidden="false" customHeight="false" outlineLevel="0" collapsed="false">
      <c r="A64" s="2" t="n">
        <v>63</v>
      </c>
      <c r="B64" s="2" t="str">
        <f aca="false">INDEX(Задача2!$B$6:$K$6,2)&amp;"-"&amp;INDEX(Задача2!$B$6:$K$6,8)&amp;"-"&amp;INDEX(Задача2!$B$6:$K$6,10)</f>
        <v>14-67-91</v>
      </c>
      <c r="C64" s="2" t="n">
        <f aca="false">INDEX(Задача2!$B$7:$K$7,2)</f>
        <v>0</v>
      </c>
      <c r="D64" s="2" t="n">
        <f aca="false">INDEX(Задача2!$B$7:$K$7,8)</f>
        <v>0</v>
      </c>
      <c r="E64" s="2" t="n">
        <f aca="false">INDEX(Задача2!$B$7:$K$7,10)</f>
        <v>0</v>
      </c>
      <c r="F64" s="5" t="n">
        <f aca="false">(C64+D64+E64)/3</f>
        <v>0</v>
      </c>
    </row>
    <row r="65" customFormat="false" ht="15" hidden="false" customHeight="false" outlineLevel="0" collapsed="false">
      <c r="A65" s="2" t="n">
        <v>64</v>
      </c>
      <c r="B65" s="2" t="str">
        <f aca="false">INDEX(Задача2!$B$6:$K$6,2)&amp;"-"&amp;INDEX(Задача2!$B$6:$K$6,9)&amp;"-"&amp;INDEX(Задача2!$B$6:$K$6,10)</f>
        <v>14-71-91</v>
      </c>
      <c r="C65" s="2" t="n">
        <f aca="false">INDEX(Задача2!$B$7:$K$7,2)</f>
        <v>0</v>
      </c>
      <c r="D65" s="2" t="n">
        <f aca="false">INDEX(Задача2!$B$7:$K$7,9)</f>
        <v>0</v>
      </c>
      <c r="E65" s="2" t="n">
        <f aca="false">INDEX(Задача2!$B$7:$K$7,10)</f>
        <v>0</v>
      </c>
      <c r="F65" s="5" t="n">
        <f aca="false">(C65+D65+E65)/3</f>
        <v>0</v>
      </c>
    </row>
    <row r="66" customFormat="false" ht="15" hidden="false" customHeight="false" outlineLevel="0" collapsed="false">
      <c r="A66" s="2" t="n">
        <v>65</v>
      </c>
      <c r="B66" s="2" t="str">
        <f aca="false">INDEX(Задача2!$B$6:$K$6,3)&amp;"-"&amp;INDEX(Задача2!$B$6:$K$6,4)&amp;"-"&amp;INDEX(Задача2!$B$6:$K$6,5)</f>
        <v>18-24-32</v>
      </c>
      <c r="C66" s="2" t="n">
        <f aca="false">INDEX(Задача2!$B$7:$K$7,3)</f>
        <v>0</v>
      </c>
      <c r="D66" s="2" t="n">
        <f aca="false">INDEX(Задача2!$B$7:$K$7,4)</f>
        <v>0</v>
      </c>
      <c r="E66" s="2" t="n">
        <f aca="false">INDEX(Задача2!$B$7:$K$7,5)</f>
        <v>0</v>
      </c>
      <c r="F66" s="5" t="n">
        <f aca="false">(C66+D66+E66)/3</f>
        <v>0</v>
      </c>
    </row>
    <row r="67" customFormat="false" ht="15" hidden="false" customHeight="false" outlineLevel="0" collapsed="false">
      <c r="A67" s="2" t="n">
        <v>66</v>
      </c>
      <c r="B67" s="2" t="str">
        <f aca="false">INDEX(Задача2!$B$6:$K$6,3)&amp;"-"&amp;INDEX(Задача2!$B$6:$K$6,4)&amp;"-"&amp;INDEX(Задача2!$B$6:$K$6,6)</f>
        <v>18-24-56</v>
      </c>
      <c r="C67" s="2" t="n">
        <f aca="false">INDEX(Задача2!$B$7:$K$7,3)</f>
        <v>0</v>
      </c>
      <c r="D67" s="2" t="n">
        <f aca="false">INDEX(Задача2!$B$7:$K$7,4)</f>
        <v>0</v>
      </c>
      <c r="E67" s="2" t="n">
        <f aca="false">INDEX(Задача2!$B$7:$K$7,6)</f>
        <v>0</v>
      </c>
      <c r="F67" s="5" t="n">
        <f aca="false">(C67+D67+E67)/3</f>
        <v>0</v>
      </c>
    </row>
    <row r="68" customFormat="false" ht="15" hidden="false" customHeight="false" outlineLevel="0" collapsed="false">
      <c r="A68" s="2" t="n">
        <v>67</v>
      </c>
      <c r="B68" s="2" t="str">
        <f aca="false">INDEX(Задача2!$B$6:$K$6,3)&amp;"-"&amp;INDEX(Задача2!$B$6:$K$6,4)&amp;"-"&amp;INDEX(Задача2!$B$6:$K$6,7)</f>
        <v>18-24-64</v>
      </c>
      <c r="C68" s="2" t="n">
        <f aca="false">INDEX(Задача2!$B$7:$K$7,3)</f>
        <v>0</v>
      </c>
      <c r="D68" s="2" t="n">
        <f aca="false">INDEX(Задача2!$B$7:$K$7,4)</f>
        <v>0</v>
      </c>
      <c r="E68" s="2" t="n">
        <f aca="false">INDEX(Задача2!$B$7:$K$7,7)</f>
        <v>0</v>
      </c>
      <c r="F68" s="5" t="n">
        <f aca="false">(C68+D68+E68)/3</f>
        <v>0</v>
      </c>
    </row>
    <row r="69" customFormat="false" ht="15" hidden="false" customHeight="false" outlineLevel="0" collapsed="false">
      <c r="A69" s="2" t="n">
        <v>68</v>
      </c>
      <c r="B69" s="2" t="str">
        <f aca="false">INDEX(Задача2!$B$6:$K$6,3)&amp;"-"&amp;INDEX(Задача2!$B$6:$K$6,4)&amp;"-"&amp;INDEX(Задача2!$B$6:$K$6,8)</f>
        <v>18-24-67</v>
      </c>
      <c r="C69" s="2" t="n">
        <f aca="false">INDEX(Задача2!$B$7:$K$7,3)</f>
        <v>0</v>
      </c>
      <c r="D69" s="2" t="n">
        <f aca="false">INDEX(Задача2!$B$7:$K$7,4)</f>
        <v>0</v>
      </c>
      <c r="E69" s="2" t="n">
        <f aca="false">INDEX(Задача2!$B$7:$K$7,8)</f>
        <v>0</v>
      </c>
      <c r="F69" s="5" t="n">
        <f aca="false">(C69+D69+E69)/3</f>
        <v>0</v>
      </c>
    </row>
    <row r="70" customFormat="false" ht="15" hidden="false" customHeight="false" outlineLevel="0" collapsed="false">
      <c r="A70" s="2" t="n">
        <v>69</v>
      </c>
      <c r="B70" s="2" t="str">
        <f aca="false">INDEX(Задача2!$B$6:$K$6,3)&amp;"-"&amp;INDEX(Задача2!$B$6:$K$6,4)&amp;"-"&amp;INDEX(Задача2!$B$6:$K$6,9)</f>
        <v>18-24-71</v>
      </c>
      <c r="C70" s="2" t="n">
        <f aca="false">INDEX(Задача2!$B$7:$K$7,3)</f>
        <v>0</v>
      </c>
      <c r="D70" s="2" t="n">
        <f aca="false">INDEX(Задача2!$B$7:$K$7,4)</f>
        <v>0</v>
      </c>
      <c r="E70" s="2" t="n">
        <f aca="false">INDEX(Задача2!$B$7:$K$7,9)</f>
        <v>0</v>
      </c>
      <c r="F70" s="5" t="n">
        <f aca="false">(C70+D70+E70)/3</f>
        <v>0</v>
      </c>
    </row>
    <row r="71" customFormat="false" ht="15" hidden="false" customHeight="false" outlineLevel="0" collapsed="false">
      <c r="A71" s="2" t="n">
        <v>70</v>
      </c>
      <c r="B71" s="2" t="str">
        <f aca="false">INDEX(Задача2!$B$6:$K$6,3)&amp;"-"&amp;INDEX(Задача2!$B$6:$K$6,4)&amp;"-"&amp;INDEX(Задача2!$B$6:$K$6,10)</f>
        <v>18-24-91</v>
      </c>
      <c r="C71" s="2" t="n">
        <f aca="false">INDEX(Задача2!$B$7:$K$7,3)</f>
        <v>0</v>
      </c>
      <c r="D71" s="2" t="n">
        <f aca="false">INDEX(Задача2!$B$7:$K$7,4)</f>
        <v>0</v>
      </c>
      <c r="E71" s="2" t="n">
        <f aca="false">INDEX(Задача2!$B$7:$K$7,10)</f>
        <v>0</v>
      </c>
      <c r="F71" s="5" t="n">
        <f aca="false">(C71+D71+E71)/3</f>
        <v>0</v>
      </c>
    </row>
    <row r="72" customFormat="false" ht="15" hidden="false" customHeight="false" outlineLevel="0" collapsed="false">
      <c r="A72" s="2" t="n">
        <v>71</v>
      </c>
      <c r="B72" s="2" t="str">
        <f aca="false">INDEX(Задача2!$B$6:$K$6,3)&amp;"-"&amp;INDEX(Задача2!$B$6:$K$6,5)&amp;"-"&amp;INDEX(Задача2!$B$6:$K$6,6)</f>
        <v>18-32-56</v>
      </c>
      <c r="C72" s="2" t="n">
        <f aca="false">INDEX(Задача2!$B$7:$K$7,3)</f>
        <v>0</v>
      </c>
      <c r="D72" s="2" t="n">
        <f aca="false">INDEX(Задача2!$B$7:$K$7,5)</f>
        <v>0</v>
      </c>
      <c r="E72" s="2" t="n">
        <f aca="false">INDEX(Задача2!$B$7:$K$7,6)</f>
        <v>0</v>
      </c>
      <c r="F72" s="5" t="n">
        <f aca="false">(C72+D72+E72)/3</f>
        <v>0</v>
      </c>
    </row>
    <row r="73" customFormat="false" ht="15" hidden="false" customHeight="false" outlineLevel="0" collapsed="false">
      <c r="A73" s="2" t="n">
        <v>72</v>
      </c>
      <c r="B73" s="2" t="str">
        <f aca="false">INDEX(Задача2!$B$6:$K$6,3)&amp;"-"&amp;INDEX(Задача2!$B$6:$K$6,5)&amp;"-"&amp;INDEX(Задача2!$B$6:$K$6,7)</f>
        <v>18-32-64</v>
      </c>
      <c r="C73" s="2" t="n">
        <f aca="false">INDEX(Задача2!$B$7:$K$7,3)</f>
        <v>0</v>
      </c>
      <c r="D73" s="2" t="n">
        <f aca="false">INDEX(Задача2!$B$7:$K$7,5)</f>
        <v>0</v>
      </c>
      <c r="E73" s="2" t="n">
        <f aca="false">INDEX(Задача2!$B$7:$K$7,7)</f>
        <v>0</v>
      </c>
      <c r="F73" s="5" t="n">
        <f aca="false">(C73+D73+E73)/3</f>
        <v>0</v>
      </c>
    </row>
    <row r="74" customFormat="false" ht="15" hidden="false" customHeight="false" outlineLevel="0" collapsed="false">
      <c r="A74" s="2" t="n">
        <v>73</v>
      </c>
      <c r="B74" s="2" t="str">
        <f aca="false">INDEX(Задача2!$B$6:$K$6,3)&amp;"-"&amp;INDEX(Задача2!$B$6:$K$6,5)&amp;"-"&amp;INDEX(Задача2!$B$6:$K$6,8)</f>
        <v>18-32-67</v>
      </c>
      <c r="C74" s="2" t="n">
        <f aca="false">INDEX(Задача2!$B$7:$K$7,3)</f>
        <v>0</v>
      </c>
      <c r="D74" s="2" t="n">
        <f aca="false">INDEX(Задача2!$B$7:$K$7,5)</f>
        <v>0</v>
      </c>
      <c r="E74" s="2" t="n">
        <f aca="false">INDEX(Задача2!$B$7:$K$7,8)</f>
        <v>0</v>
      </c>
      <c r="F74" s="5" t="n">
        <f aca="false">(C74+D74+E74)/3</f>
        <v>0</v>
      </c>
    </row>
    <row r="75" customFormat="false" ht="15" hidden="false" customHeight="false" outlineLevel="0" collapsed="false">
      <c r="A75" s="2" t="n">
        <v>74</v>
      </c>
      <c r="B75" s="2" t="str">
        <f aca="false">INDEX(Задача2!$B$6:$K$6,3)&amp;"-"&amp;INDEX(Задача2!$B$6:$K$6,5)&amp;"-"&amp;INDEX(Задача2!$B$6:$K$6,9)</f>
        <v>18-32-71</v>
      </c>
      <c r="C75" s="2" t="n">
        <f aca="false">INDEX(Задача2!$B$7:$K$7,3)</f>
        <v>0</v>
      </c>
      <c r="D75" s="2" t="n">
        <f aca="false">INDEX(Задача2!$B$7:$K$7,5)</f>
        <v>0</v>
      </c>
      <c r="E75" s="2" t="n">
        <f aca="false">INDEX(Задача2!$B$7:$K$7,9)</f>
        <v>0</v>
      </c>
      <c r="F75" s="5" t="n">
        <f aca="false">(C75+D75+E75)/3</f>
        <v>0</v>
      </c>
    </row>
    <row r="76" customFormat="false" ht="15" hidden="false" customHeight="false" outlineLevel="0" collapsed="false">
      <c r="A76" s="2" t="n">
        <v>75</v>
      </c>
      <c r="B76" s="2" t="str">
        <f aca="false">INDEX(Задача2!$B$6:$K$6,3)&amp;"-"&amp;INDEX(Задача2!$B$6:$K$6,5)&amp;"-"&amp;INDEX(Задача2!$B$6:$K$6,10)</f>
        <v>18-32-91</v>
      </c>
      <c r="C76" s="2" t="n">
        <f aca="false">INDEX(Задача2!$B$7:$K$7,3)</f>
        <v>0</v>
      </c>
      <c r="D76" s="2" t="n">
        <f aca="false">INDEX(Задача2!$B$7:$K$7,5)</f>
        <v>0</v>
      </c>
      <c r="E76" s="2" t="n">
        <f aca="false">INDEX(Задача2!$B$7:$K$7,10)</f>
        <v>0</v>
      </c>
      <c r="F76" s="5" t="n">
        <f aca="false">(C76+D76+E76)/3</f>
        <v>0</v>
      </c>
    </row>
    <row r="77" customFormat="false" ht="15" hidden="false" customHeight="false" outlineLevel="0" collapsed="false">
      <c r="A77" s="2" t="n">
        <v>76</v>
      </c>
      <c r="B77" s="2" t="str">
        <f aca="false">INDEX(Задача2!$B$6:$K$6,3)&amp;"-"&amp;INDEX(Задача2!$B$6:$K$6,6)&amp;"-"&amp;INDEX(Задача2!$B$6:$K$6,7)</f>
        <v>18-56-64</v>
      </c>
      <c r="C77" s="2" t="n">
        <f aca="false">INDEX(Задача2!$B$7:$K$7,3)</f>
        <v>0</v>
      </c>
      <c r="D77" s="2" t="n">
        <f aca="false">INDEX(Задача2!$B$7:$K$7,6)</f>
        <v>0</v>
      </c>
      <c r="E77" s="2" t="n">
        <f aca="false">INDEX(Задача2!$B$7:$K$7,7)</f>
        <v>0</v>
      </c>
      <c r="F77" s="5" t="n">
        <f aca="false">(C77+D77+E77)/3</f>
        <v>0</v>
      </c>
    </row>
    <row r="78" customFormat="false" ht="15" hidden="false" customHeight="false" outlineLevel="0" collapsed="false">
      <c r="A78" s="2" t="n">
        <v>77</v>
      </c>
      <c r="B78" s="2" t="str">
        <f aca="false">INDEX(Задача2!$B$6:$K$6,3)&amp;"-"&amp;INDEX(Задача2!$B$6:$K$6,6)&amp;"-"&amp;INDEX(Задача2!$B$6:$K$6,8)</f>
        <v>18-56-67</v>
      </c>
      <c r="C78" s="2" t="n">
        <f aca="false">INDEX(Задача2!$B$7:$K$7,3)</f>
        <v>0</v>
      </c>
      <c r="D78" s="2" t="n">
        <f aca="false">INDEX(Задача2!$B$7:$K$7,6)</f>
        <v>0</v>
      </c>
      <c r="E78" s="2" t="n">
        <f aca="false">INDEX(Задача2!$B$7:$K$7,8)</f>
        <v>0</v>
      </c>
      <c r="F78" s="5" t="n">
        <f aca="false">(C78+D78+E78)/3</f>
        <v>0</v>
      </c>
    </row>
    <row r="79" customFormat="false" ht="15" hidden="false" customHeight="false" outlineLevel="0" collapsed="false">
      <c r="A79" s="2" t="n">
        <v>78</v>
      </c>
      <c r="B79" s="2" t="str">
        <f aca="false">INDEX(Задача2!$B$6:$K$6,3)&amp;"-"&amp;INDEX(Задача2!$B$6:$K$6,6)&amp;"-"&amp;INDEX(Задача2!$B$6:$K$6,9)</f>
        <v>18-56-71</v>
      </c>
      <c r="C79" s="2" t="n">
        <f aca="false">INDEX(Задача2!$B$7:$K$7,3)</f>
        <v>0</v>
      </c>
      <c r="D79" s="2" t="n">
        <f aca="false">INDEX(Задача2!$B$7:$K$7,6)</f>
        <v>0</v>
      </c>
      <c r="E79" s="2" t="n">
        <f aca="false">INDEX(Задача2!$B$7:$K$7,9)</f>
        <v>0</v>
      </c>
      <c r="F79" s="5" t="n">
        <f aca="false">(C79+D79+E79)/3</f>
        <v>0</v>
      </c>
    </row>
    <row r="80" customFormat="false" ht="15" hidden="false" customHeight="false" outlineLevel="0" collapsed="false">
      <c r="A80" s="2" t="n">
        <v>79</v>
      </c>
      <c r="B80" s="2" t="str">
        <f aca="false">INDEX(Задача2!$B$6:$K$6,3)&amp;"-"&amp;INDEX(Задача2!$B$6:$K$6,6)&amp;"-"&amp;INDEX(Задача2!$B$6:$K$6,10)</f>
        <v>18-56-91</v>
      </c>
      <c r="C80" s="2" t="n">
        <f aca="false">INDEX(Задача2!$B$7:$K$7,3)</f>
        <v>0</v>
      </c>
      <c r="D80" s="2" t="n">
        <f aca="false">INDEX(Задача2!$B$7:$K$7,6)</f>
        <v>0</v>
      </c>
      <c r="E80" s="2" t="n">
        <f aca="false">INDEX(Задача2!$B$7:$K$7,10)</f>
        <v>0</v>
      </c>
      <c r="F80" s="5" t="n">
        <f aca="false">(C80+D80+E80)/3</f>
        <v>0</v>
      </c>
    </row>
    <row r="81" customFormat="false" ht="15" hidden="false" customHeight="false" outlineLevel="0" collapsed="false">
      <c r="A81" s="2" t="n">
        <v>80</v>
      </c>
      <c r="B81" s="2" t="str">
        <f aca="false">INDEX(Задача2!$B$6:$K$6,3)&amp;"-"&amp;INDEX(Задача2!$B$6:$K$6,7)&amp;"-"&amp;INDEX(Задача2!$B$6:$K$6,8)</f>
        <v>18-64-67</v>
      </c>
      <c r="C81" s="2" t="n">
        <f aca="false">INDEX(Задача2!$B$7:$K$7,3)</f>
        <v>0</v>
      </c>
      <c r="D81" s="2" t="n">
        <f aca="false">INDEX(Задача2!$B$7:$K$7,7)</f>
        <v>0</v>
      </c>
      <c r="E81" s="2" t="n">
        <f aca="false">INDEX(Задача2!$B$7:$K$7,8)</f>
        <v>0</v>
      </c>
      <c r="F81" s="5" t="n">
        <f aca="false">(C81+D81+E81)/3</f>
        <v>0</v>
      </c>
    </row>
    <row r="82" customFormat="false" ht="15" hidden="false" customHeight="false" outlineLevel="0" collapsed="false">
      <c r="A82" s="2" t="n">
        <v>81</v>
      </c>
      <c r="B82" s="2" t="str">
        <f aca="false">INDEX(Задача2!$B$6:$K$6,3)&amp;"-"&amp;INDEX(Задача2!$B$6:$K$6,7)&amp;"-"&amp;INDEX(Задача2!$B$6:$K$6,9)</f>
        <v>18-64-71</v>
      </c>
      <c r="C82" s="2" t="n">
        <f aca="false">INDEX(Задача2!$B$7:$K$7,3)</f>
        <v>0</v>
      </c>
      <c r="D82" s="2" t="n">
        <f aca="false">INDEX(Задача2!$B$7:$K$7,7)</f>
        <v>0</v>
      </c>
      <c r="E82" s="2" t="n">
        <f aca="false">INDEX(Задача2!$B$7:$K$7,9)</f>
        <v>0</v>
      </c>
      <c r="F82" s="5" t="n">
        <f aca="false">(C82+D82+E82)/3</f>
        <v>0</v>
      </c>
    </row>
    <row r="83" customFormat="false" ht="15" hidden="false" customHeight="false" outlineLevel="0" collapsed="false">
      <c r="A83" s="2" t="n">
        <v>82</v>
      </c>
      <c r="B83" s="2" t="str">
        <f aca="false">INDEX(Задача2!$B$6:$K$6,3)&amp;"-"&amp;INDEX(Задача2!$B$6:$K$6,7)&amp;"-"&amp;INDEX(Задача2!$B$6:$K$6,10)</f>
        <v>18-64-91</v>
      </c>
      <c r="C83" s="2" t="n">
        <f aca="false">INDEX(Задача2!$B$7:$K$7,3)</f>
        <v>0</v>
      </c>
      <c r="D83" s="2" t="n">
        <f aca="false">INDEX(Задача2!$B$7:$K$7,7)</f>
        <v>0</v>
      </c>
      <c r="E83" s="2" t="n">
        <f aca="false">INDEX(Задача2!$B$7:$K$7,10)</f>
        <v>0</v>
      </c>
      <c r="F83" s="5" t="n">
        <f aca="false">(C83+D83+E83)/3</f>
        <v>0</v>
      </c>
    </row>
    <row r="84" customFormat="false" ht="15" hidden="false" customHeight="false" outlineLevel="0" collapsed="false">
      <c r="A84" s="2" t="n">
        <v>83</v>
      </c>
      <c r="B84" s="2" t="str">
        <f aca="false">INDEX(Задача2!$B$6:$K$6,3)&amp;"-"&amp;INDEX(Задача2!$B$6:$K$6,8)&amp;"-"&amp;INDEX(Задача2!$B$6:$K$6,9)</f>
        <v>18-67-71</v>
      </c>
      <c r="C84" s="2" t="n">
        <f aca="false">INDEX(Задача2!$B$7:$K$7,3)</f>
        <v>0</v>
      </c>
      <c r="D84" s="2" t="n">
        <f aca="false">INDEX(Задача2!$B$7:$K$7,8)</f>
        <v>0</v>
      </c>
      <c r="E84" s="2" t="n">
        <f aca="false">INDEX(Задача2!$B$7:$K$7,9)</f>
        <v>0</v>
      </c>
      <c r="F84" s="5" t="n">
        <f aca="false">(C84+D84+E84)/3</f>
        <v>0</v>
      </c>
    </row>
    <row r="85" customFormat="false" ht="15" hidden="false" customHeight="false" outlineLevel="0" collapsed="false">
      <c r="A85" s="2" t="n">
        <v>84</v>
      </c>
      <c r="B85" s="2" t="str">
        <f aca="false">INDEX(Задача2!$B$6:$K$6,3)&amp;"-"&amp;INDEX(Задача2!$B$6:$K$6,8)&amp;"-"&amp;INDEX(Задача2!$B$6:$K$6,10)</f>
        <v>18-67-91</v>
      </c>
      <c r="C85" s="2" t="n">
        <f aca="false">INDEX(Задача2!$B$7:$K$7,3)</f>
        <v>0</v>
      </c>
      <c r="D85" s="2" t="n">
        <f aca="false">INDEX(Задача2!$B$7:$K$7,8)</f>
        <v>0</v>
      </c>
      <c r="E85" s="2" t="n">
        <f aca="false">INDEX(Задача2!$B$7:$K$7,10)</f>
        <v>0</v>
      </c>
      <c r="F85" s="5" t="n">
        <f aca="false">(C85+D85+E85)/3</f>
        <v>0</v>
      </c>
    </row>
    <row r="86" customFormat="false" ht="15" hidden="false" customHeight="false" outlineLevel="0" collapsed="false">
      <c r="A86" s="2" t="n">
        <v>85</v>
      </c>
      <c r="B86" s="2" t="str">
        <f aca="false">INDEX(Задача2!$B$6:$K$6,3)&amp;"-"&amp;INDEX(Задача2!$B$6:$K$6,9)&amp;"-"&amp;INDEX(Задача2!$B$6:$K$6,10)</f>
        <v>18-71-91</v>
      </c>
      <c r="C86" s="2" t="n">
        <f aca="false">INDEX(Задача2!$B$7:$K$7,3)</f>
        <v>0</v>
      </c>
      <c r="D86" s="2" t="n">
        <f aca="false">INDEX(Задача2!$B$7:$K$7,9)</f>
        <v>0</v>
      </c>
      <c r="E86" s="2" t="n">
        <f aca="false">INDEX(Задача2!$B$7:$K$7,10)</f>
        <v>0</v>
      </c>
      <c r="F86" s="5" t="n">
        <f aca="false">(C86+D86+E86)/3</f>
        <v>0</v>
      </c>
    </row>
    <row r="87" customFormat="false" ht="15" hidden="false" customHeight="false" outlineLevel="0" collapsed="false">
      <c r="A87" s="2" t="n">
        <v>86</v>
      </c>
      <c r="B87" s="2" t="str">
        <f aca="false">INDEX(Задача2!$B$6:$K$6,4)&amp;"-"&amp;INDEX(Задача2!$B$6:$K$6,5)&amp;"-"&amp;INDEX(Задача2!$B$6:$K$6,6)</f>
        <v>24-32-56</v>
      </c>
      <c r="C87" s="2" t="n">
        <f aca="false">INDEX(Задача2!$B$7:$K$7,4)</f>
        <v>0</v>
      </c>
      <c r="D87" s="2" t="n">
        <f aca="false">INDEX(Задача2!$B$7:$K$7,5)</f>
        <v>0</v>
      </c>
      <c r="E87" s="2" t="n">
        <f aca="false">INDEX(Задача2!$B$7:$K$7,6)</f>
        <v>0</v>
      </c>
      <c r="F87" s="5" t="n">
        <f aca="false">(C87+D87+E87)/3</f>
        <v>0</v>
      </c>
    </row>
    <row r="88" customFormat="false" ht="15" hidden="false" customHeight="false" outlineLevel="0" collapsed="false">
      <c r="A88" s="2" t="n">
        <v>87</v>
      </c>
      <c r="B88" s="2" t="str">
        <f aca="false">INDEX(Задача2!$B$6:$K$6,4)&amp;"-"&amp;INDEX(Задача2!$B$6:$K$6,5)&amp;"-"&amp;INDEX(Задача2!$B$6:$K$6,7)</f>
        <v>24-32-64</v>
      </c>
      <c r="C88" s="2" t="n">
        <f aca="false">INDEX(Задача2!$B$7:$K$7,4)</f>
        <v>0</v>
      </c>
      <c r="D88" s="2" t="n">
        <f aca="false">INDEX(Задача2!$B$7:$K$7,5)</f>
        <v>0</v>
      </c>
      <c r="E88" s="2" t="n">
        <f aca="false">INDEX(Задача2!$B$7:$K$7,7)</f>
        <v>0</v>
      </c>
      <c r="F88" s="5" t="n">
        <f aca="false">(C88+D88+E88)/3</f>
        <v>0</v>
      </c>
    </row>
    <row r="89" customFormat="false" ht="15" hidden="false" customHeight="false" outlineLevel="0" collapsed="false">
      <c r="A89" s="2" t="n">
        <v>88</v>
      </c>
      <c r="B89" s="2" t="str">
        <f aca="false">INDEX(Задача2!$B$6:$K$6,4)&amp;"-"&amp;INDEX(Задача2!$B$6:$K$6,5)&amp;"-"&amp;INDEX(Задача2!$B$6:$K$6,8)</f>
        <v>24-32-67</v>
      </c>
      <c r="C89" s="2" t="n">
        <f aca="false">INDEX(Задача2!$B$7:$K$7,4)</f>
        <v>0</v>
      </c>
      <c r="D89" s="2" t="n">
        <f aca="false">INDEX(Задача2!$B$7:$K$7,5)</f>
        <v>0</v>
      </c>
      <c r="E89" s="2" t="n">
        <f aca="false">INDEX(Задача2!$B$7:$K$7,8)</f>
        <v>0</v>
      </c>
      <c r="F89" s="5" t="n">
        <f aca="false">(C89+D89+E89)/3</f>
        <v>0</v>
      </c>
    </row>
    <row r="90" customFormat="false" ht="15" hidden="false" customHeight="false" outlineLevel="0" collapsed="false">
      <c r="A90" s="2" t="n">
        <v>89</v>
      </c>
      <c r="B90" s="2" t="str">
        <f aca="false">INDEX(Задача2!$B$6:$K$6,4)&amp;"-"&amp;INDEX(Задача2!$B$6:$K$6,5)&amp;"-"&amp;INDEX(Задача2!$B$6:$K$6,9)</f>
        <v>24-32-71</v>
      </c>
      <c r="C90" s="2" t="n">
        <f aca="false">INDEX(Задача2!$B$7:$K$7,4)</f>
        <v>0</v>
      </c>
      <c r="D90" s="2" t="n">
        <f aca="false">INDEX(Задача2!$B$7:$K$7,5)</f>
        <v>0</v>
      </c>
      <c r="E90" s="2" t="n">
        <f aca="false">INDEX(Задача2!$B$7:$K$7,9)</f>
        <v>0</v>
      </c>
      <c r="F90" s="5" t="n">
        <f aca="false">(C90+D90+E90)/3</f>
        <v>0</v>
      </c>
    </row>
    <row r="91" customFormat="false" ht="15" hidden="false" customHeight="false" outlineLevel="0" collapsed="false">
      <c r="A91" s="2" t="n">
        <v>90</v>
      </c>
      <c r="B91" s="2" t="str">
        <f aca="false">INDEX(Задача2!$B$6:$K$6,4)&amp;"-"&amp;INDEX(Задача2!$B$6:$K$6,5)&amp;"-"&amp;INDEX(Задача2!$B$6:$K$6,10)</f>
        <v>24-32-91</v>
      </c>
      <c r="C91" s="2" t="n">
        <f aca="false">INDEX(Задача2!$B$7:$K$7,4)</f>
        <v>0</v>
      </c>
      <c r="D91" s="2" t="n">
        <f aca="false">INDEX(Задача2!$B$7:$K$7,5)</f>
        <v>0</v>
      </c>
      <c r="E91" s="2" t="n">
        <f aca="false">INDEX(Задача2!$B$7:$K$7,10)</f>
        <v>0</v>
      </c>
      <c r="F91" s="5" t="n">
        <f aca="false">(C91+D91+E91)/3</f>
        <v>0</v>
      </c>
    </row>
    <row r="92" customFormat="false" ht="15" hidden="false" customHeight="false" outlineLevel="0" collapsed="false">
      <c r="A92" s="2" t="n">
        <v>91</v>
      </c>
      <c r="B92" s="2" t="str">
        <f aca="false">INDEX(Задача2!$B$6:$K$6,4)&amp;"-"&amp;INDEX(Задача2!$B$6:$K$6,6)&amp;"-"&amp;INDEX(Задача2!$B$6:$K$6,7)</f>
        <v>24-56-64</v>
      </c>
      <c r="C92" s="2" t="n">
        <f aca="false">INDEX(Задача2!$B$7:$K$7,4)</f>
        <v>0</v>
      </c>
      <c r="D92" s="2" t="n">
        <f aca="false">INDEX(Задача2!$B$7:$K$7,6)</f>
        <v>0</v>
      </c>
      <c r="E92" s="2" t="n">
        <f aca="false">INDEX(Задача2!$B$7:$K$7,7)</f>
        <v>0</v>
      </c>
      <c r="F92" s="5" t="n">
        <f aca="false">(C92+D92+E92)/3</f>
        <v>0</v>
      </c>
    </row>
    <row r="93" customFormat="false" ht="15" hidden="false" customHeight="false" outlineLevel="0" collapsed="false">
      <c r="A93" s="2" t="n">
        <v>92</v>
      </c>
      <c r="B93" s="2" t="str">
        <f aca="false">INDEX(Задача2!$B$6:$K$6,4)&amp;"-"&amp;INDEX(Задача2!$B$6:$K$6,6)&amp;"-"&amp;INDEX(Задача2!$B$6:$K$6,8)</f>
        <v>24-56-67</v>
      </c>
      <c r="C93" s="2" t="n">
        <f aca="false">INDEX(Задача2!$B$7:$K$7,4)</f>
        <v>0</v>
      </c>
      <c r="D93" s="2" t="n">
        <f aca="false">INDEX(Задача2!$B$7:$K$7,6)</f>
        <v>0</v>
      </c>
      <c r="E93" s="2" t="n">
        <f aca="false">INDEX(Задача2!$B$7:$K$7,8)</f>
        <v>0</v>
      </c>
      <c r="F93" s="5" t="n">
        <f aca="false">(C93+D93+E93)/3</f>
        <v>0</v>
      </c>
    </row>
    <row r="94" customFormat="false" ht="15" hidden="false" customHeight="false" outlineLevel="0" collapsed="false">
      <c r="A94" s="2" t="n">
        <v>93</v>
      </c>
      <c r="B94" s="2" t="str">
        <f aca="false">INDEX(Задача2!$B$6:$K$6,4)&amp;"-"&amp;INDEX(Задача2!$B$6:$K$6,6)&amp;"-"&amp;INDEX(Задача2!$B$6:$K$6,9)</f>
        <v>24-56-71</v>
      </c>
      <c r="C94" s="2" t="n">
        <f aca="false">INDEX(Задача2!$B$7:$K$7,4)</f>
        <v>0</v>
      </c>
      <c r="D94" s="2" t="n">
        <f aca="false">INDEX(Задача2!$B$7:$K$7,6)</f>
        <v>0</v>
      </c>
      <c r="E94" s="2" t="n">
        <f aca="false">INDEX(Задача2!$B$7:$K$7,9)</f>
        <v>0</v>
      </c>
      <c r="F94" s="5" t="n">
        <f aca="false">(C94+D94+E94)/3</f>
        <v>0</v>
      </c>
    </row>
    <row r="95" customFormat="false" ht="15" hidden="false" customHeight="false" outlineLevel="0" collapsed="false">
      <c r="A95" s="2" t="n">
        <v>94</v>
      </c>
      <c r="B95" s="2" t="str">
        <f aca="false">INDEX(Задача2!$B$6:$K$6,4)&amp;"-"&amp;INDEX(Задача2!$B$6:$K$6,6)&amp;"-"&amp;INDEX(Задача2!$B$6:$K$6,10)</f>
        <v>24-56-91</v>
      </c>
      <c r="C95" s="2" t="n">
        <f aca="false">INDEX(Задача2!$B$7:$K$7,4)</f>
        <v>0</v>
      </c>
      <c r="D95" s="2" t="n">
        <f aca="false">INDEX(Задача2!$B$7:$K$7,6)</f>
        <v>0</v>
      </c>
      <c r="E95" s="2" t="n">
        <f aca="false">INDEX(Задача2!$B$7:$K$7,10)</f>
        <v>0</v>
      </c>
      <c r="F95" s="5" t="n">
        <f aca="false">(C95+D95+E95)/3</f>
        <v>0</v>
      </c>
    </row>
    <row r="96" customFormat="false" ht="15" hidden="false" customHeight="false" outlineLevel="0" collapsed="false">
      <c r="A96" s="2" t="n">
        <v>95</v>
      </c>
      <c r="B96" s="2" t="str">
        <f aca="false">INDEX(Задача2!$B$6:$K$6,4)&amp;"-"&amp;INDEX(Задача2!$B$6:$K$6,7)&amp;"-"&amp;INDEX(Задача2!$B$6:$K$6,8)</f>
        <v>24-64-67</v>
      </c>
      <c r="C96" s="2" t="n">
        <f aca="false">INDEX(Задача2!$B$7:$K$7,4)</f>
        <v>0</v>
      </c>
      <c r="D96" s="2" t="n">
        <f aca="false">INDEX(Задача2!$B$7:$K$7,7)</f>
        <v>0</v>
      </c>
      <c r="E96" s="2" t="n">
        <f aca="false">INDEX(Задача2!$B$7:$K$7,8)</f>
        <v>0</v>
      </c>
      <c r="F96" s="5" t="n">
        <f aca="false">(C96+D96+E96)/3</f>
        <v>0</v>
      </c>
    </row>
    <row r="97" customFormat="false" ht="15" hidden="false" customHeight="false" outlineLevel="0" collapsed="false">
      <c r="A97" s="2" t="n">
        <v>96</v>
      </c>
      <c r="B97" s="2" t="str">
        <f aca="false">INDEX(Задача2!$B$6:$K$6,4)&amp;"-"&amp;INDEX(Задача2!$B$6:$K$6,7)&amp;"-"&amp;INDEX(Задача2!$B$6:$K$6,9)</f>
        <v>24-64-71</v>
      </c>
      <c r="C97" s="2" t="n">
        <f aca="false">INDEX(Задача2!$B$7:$K$7,4)</f>
        <v>0</v>
      </c>
      <c r="D97" s="2" t="n">
        <f aca="false">INDEX(Задача2!$B$7:$K$7,7)</f>
        <v>0</v>
      </c>
      <c r="E97" s="2" t="n">
        <f aca="false">INDEX(Задача2!$B$7:$K$7,9)</f>
        <v>0</v>
      </c>
      <c r="F97" s="5" t="n">
        <f aca="false">(C97+D97+E97)/3</f>
        <v>0</v>
      </c>
    </row>
    <row r="98" customFormat="false" ht="15" hidden="false" customHeight="false" outlineLevel="0" collapsed="false">
      <c r="A98" s="2" t="n">
        <v>97</v>
      </c>
      <c r="B98" s="2" t="str">
        <f aca="false">INDEX(Задача2!$B$6:$K$6,4)&amp;"-"&amp;INDEX(Задача2!$B$6:$K$6,7)&amp;"-"&amp;INDEX(Задача2!$B$6:$K$6,10)</f>
        <v>24-64-91</v>
      </c>
      <c r="C98" s="2" t="n">
        <f aca="false">INDEX(Задача2!$B$7:$K$7,4)</f>
        <v>0</v>
      </c>
      <c r="D98" s="2" t="n">
        <f aca="false">INDEX(Задача2!$B$7:$K$7,7)</f>
        <v>0</v>
      </c>
      <c r="E98" s="2" t="n">
        <f aca="false">INDEX(Задача2!$B$7:$K$7,10)</f>
        <v>0</v>
      </c>
      <c r="F98" s="5" t="n">
        <f aca="false">(C98+D98+E98)/3</f>
        <v>0</v>
      </c>
    </row>
    <row r="99" customFormat="false" ht="15" hidden="false" customHeight="false" outlineLevel="0" collapsed="false">
      <c r="A99" s="2" t="n">
        <v>98</v>
      </c>
      <c r="B99" s="2" t="str">
        <f aca="false">INDEX(Задача2!$B$6:$K$6,4)&amp;"-"&amp;INDEX(Задача2!$B$6:$K$6,8)&amp;"-"&amp;INDEX(Задача2!$B$6:$K$6,9)</f>
        <v>24-67-71</v>
      </c>
      <c r="C99" s="2" t="n">
        <f aca="false">INDEX(Задача2!$B$7:$K$7,4)</f>
        <v>0</v>
      </c>
      <c r="D99" s="2" t="n">
        <f aca="false">INDEX(Задача2!$B$7:$K$7,8)</f>
        <v>0</v>
      </c>
      <c r="E99" s="2" t="n">
        <f aca="false">INDEX(Задача2!$B$7:$K$7,9)</f>
        <v>0</v>
      </c>
      <c r="F99" s="5" t="n">
        <f aca="false">(C99+D99+E99)/3</f>
        <v>0</v>
      </c>
    </row>
    <row r="100" customFormat="false" ht="15" hidden="false" customHeight="false" outlineLevel="0" collapsed="false">
      <c r="A100" s="2" t="n">
        <v>99</v>
      </c>
      <c r="B100" s="2" t="str">
        <f aca="false">INDEX(Задача2!$B$6:$K$6,4)&amp;"-"&amp;INDEX(Задача2!$B$6:$K$6,8)&amp;"-"&amp;INDEX(Задача2!$B$6:$K$6,10)</f>
        <v>24-67-91</v>
      </c>
      <c r="C100" s="2" t="n">
        <f aca="false">INDEX(Задача2!$B$7:$K$7,4)</f>
        <v>0</v>
      </c>
      <c r="D100" s="2" t="n">
        <f aca="false">INDEX(Задача2!$B$7:$K$7,8)</f>
        <v>0</v>
      </c>
      <c r="E100" s="2" t="n">
        <f aca="false">INDEX(Задача2!$B$7:$K$7,10)</f>
        <v>0</v>
      </c>
      <c r="F100" s="5" t="n">
        <f aca="false">(C100+D100+E100)/3</f>
        <v>0</v>
      </c>
    </row>
    <row r="101" customFormat="false" ht="15" hidden="false" customHeight="false" outlineLevel="0" collapsed="false">
      <c r="A101" s="2" t="n">
        <v>100</v>
      </c>
      <c r="B101" s="2" t="str">
        <f aca="false">INDEX(Задача2!$B$6:$K$6,4)&amp;"-"&amp;INDEX(Задача2!$B$6:$K$6,9)&amp;"-"&amp;INDEX(Задача2!$B$6:$K$6,10)</f>
        <v>24-71-91</v>
      </c>
      <c r="C101" s="2" t="n">
        <f aca="false">INDEX(Задача2!$B$7:$K$7,4)</f>
        <v>0</v>
      </c>
      <c r="D101" s="2" t="n">
        <f aca="false">INDEX(Задача2!$B$7:$K$7,9)</f>
        <v>0</v>
      </c>
      <c r="E101" s="2" t="n">
        <f aca="false">INDEX(Задача2!$B$7:$K$7,10)</f>
        <v>0</v>
      </c>
      <c r="F101" s="5" t="n">
        <f aca="false">(C101+D101+E101)/3</f>
        <v>0</v>
      </c>
    </row>
    <row r="102" customFormat="false" ht="15" hidden="false" customHeight="false" outlineLevel="0" collapsed="false">
      <c r="A102" s="2" t="n">
        <v>101</v>
      </c>
      <c r="B102" s="2" t="str">
        <f aca="false">INDEX(Задача2!$B$6:$K$6,5)&amp;"-"&amp;INDEX(Задача2!$B$6:$K$6,6)&amp;"-"&amp;INDEX(Задача2!$B$6:$K$6,7)</f>
        <v>32-56-64</v>
      </c>
      <c r="C102" s="2" t="n">
        <f aca="false">INDEX(Задача2!$B$7:$K$7,5)</f>
        <v>0</v>
      </c>
      <c r="D102" s="2" t="n">
        <f aca="false">INDEX(Задача2!$B$7:$K$7,6)</f>
        <v>0</v>
      </c>
      <c r="E102" s="2" t="n">
        <f aca="false">INDEX(Задача2!$B$7:$K$7,7)</f>
        <v>0</v>
      </c>
      <c r="F102" s="5" t="n">
        <f aca="false">(C102+D102+E102)/3</f>
        <v>0</v>
      </c>
    </row>
    <row r="103" customFormat="false" ht="15" hidden="false" customHeight="false" outlineLevel="0" collapsed="false">
      <c r="A103" s="2" t="n">
        <v>102</v>
      </c>
      <c r="B103" s="2" t="str">
        <f aca="false">INDEX(Задача2!$B$6:$K$6,5)&amp;"-"&amp;INDEX(Задача2!$B$6:$K$6,6)&amp;"-"&amp;INDEX(Задача2!$B$6:$K$6,8)</f>
        <v>32-56-67</v>
      </c>
      <c r="C103" s="2" t="n">
        <f aca="false">INDEX(Задача2!$B$7:$K$7,5)</f>
        <v>0</v>
      </c>
      <c r="D103" s="2" t="n">
        <f aca="false">INDEX(Задача2!$B$7:$K$7,6)</f>
        <v>0</v>
      </c>
      <c r="E103" s="2" t="n">
        <f aca="false">INDEX(Задача2!$B$7:$K$7,8)</f>
        <v>0</v>
      </c>
      <c r="F103" s="5" t="n">
        <f aca="false">(C103+D103+E103)/3</f>
        <v>0</v>
      </c>
    </row>
    <row r="104" customFormat="false" ht="15" hidden="false" customHeight="false" outlineLevel="0" collapsed="false">
      <c r="A104" s="2" t="n">
        <v>103</v>
      </c>
      <c r="B104" s="2" t="str">
        <f aca="false">INDEX(Задача2!$B$6:$K$6,5)&amp;"-"&amp;INDEX(Задача2!$B$6:$K$6,6)&amp;"-"&amp;INDEX(Задача2!$B$6:$K$6,9)</f>
        <v>32-56-71</v>
      </c>
      <c r="C104" s="2" t="n">
        <f aca="false">INDEX(Задача2!$B$7:$K$7,5)</f>
        <v>0</v>
      </c>
      <c r="D104" s="2" t="n">
        <f aca="false">INDEX(Задача2!$B$7:$K$7,6)</f>
        <v>0</v>
      </c>
      <c r="E104" s="2" t="n">
        <f aca="false">INDEX(Задача2!$B$7:$K$7,9)</f>
        <v>0</v>
      </c>
      <c r="F104" s="5" t="n">
        <f aca="false">(C104+D104+E104)/3</f>
        <v>0</v>
      </c>
    </row>
    <row r="105" customFormat="false" ht="15" hidden="false" customHeight="false" outlineLevel="0" collapsed="false">
      <c r="A105" s="2" t="n">
        <v>104</v>
      </c>
      <c r="B105" s="2" t="str">
        <f aca="false">INDEX(Задача2!$B$6:$K$6,5)&amp;"-"&amp;INDEX(Задача2!$B$6:$K$6,6)&amp;"-"&amp;INDEX(Задача2!$B$6:$K$6,10)</f>
        <v>32-56-91</v>
      </c>
      <c r="C105" s="2" t="n">
        <f aca="false">INDEX(Задача2!$B$7:$K$7,5)</f>
        <v>0</v>
      </c>
      <c r="D105" s="2" t="n">
        <f aca="false">INDEX(Задача2!$B$7:$K$7,6)</f>
        <v>0</v>
      </c>
      <c r="E105" s="2" t="n">
        <f aca="false">INDEX(Задача2!$B$7:$K$7,10)</f>
        <v>0</v>
      </c>
      <c r="F105" s="5" t="n">
        <f aca="false">(C105+D105+E105)/3</f>
        <v>0</v>
      </c>
    </row>
    <row r="106" customFormat="false" ht="15" hidden="false" customHeight="false" outlineLevel="0" collapsed="false">
      <c r="A106" s="2" t="n">
        <v>105</v>
      </c>
      <c r="B106" s="2" t="str">
        <f aca="false">INDEX(Задача2!$B$6:$K$6,5)&amp;"-"&amp;INDEX(Задача2!$B$6:$K$6,7)&amp;"-"&amp;INDEX(Задача2!$B$6:$K$6,8)</f>
        <v>32-64-67</v>
      </c>
      <c r="C106" s="2" t="n">
        <f aca="false">INDEX(Задача2!$B$7:$K$7,5)</f>
        <v>0</v>
      </c>
      <c r="D106" s="2" t="n">
        <f aca="false">INDEX(Задача2!$B$7:$K$7,7)</f>
        <v>0</v>
      </c>
      <c r="E106" s="2" t="n">
        <f aca="false">INDEX(Задача2!$B$7:$K$7,8)</f>
        <v>0</v>
      </c>
      <c r="F106" s="5" t="n">
        <f aca="false">(C106+D106+E106)/3</f>
        <v>0</v>
      </c>
    </row>
    <row r="107" customFormat="false" ht="15" hidden="false" customHeight="false" outlineLevel="0" collapsed="false">
      <c r="A107" s="2" t="n">
        <v>106</v>
      </c>
      <c r="B107" s="2" t="str">
        <f aca="false">INDEX(Задача2!$B$6:$K$6,5)&amp;"-"&amp;INDEX(Задача2!$B$6:$K$6,7)&amp;"-"&amp;INDEX(Задача2!$B$6:$K$6,9)</f>
        <v>32-64-71</v>
      </c>
      <c r="C107" s="2" t="n">
        <f aca="false">INDEX(Задача2!$B$7:$K$7,5)</f>
        <v>0</v>
      </c>
      <c r="D107" s="2" t="n">
        <f aca="false">INDEX(Задача2!$B$7:$K$7,7)</f>
        <v>0</v>
      </c>
      <c r="E107" s="2" t="n">
        <f aca="false">INDEX(Задача2!$B$7:$K$7,9)</f>
        <v>0</v>
      </c>
      <c r="F107" s="5" t="n">
        <f aca="false">(C107+D107+E107)/3</f>
        <v>0</v>
      </c>
    </row>
    <row r="108" customFormat="false" ht="15" hidden="false" customHeight="false" outlineLevel="0" collapsed="false">
      <c r="A108" s="2" t="n">
        <v>107</v>
      </c>
      <c r="B108" s="2" t="str">
        <f aca="false">INDEX(Задача2!$B$6:$K$6,5)&amp;"-"&amp;INDEX(Задача2!$B$6:$K$6,7)&amp;"-"&amp;INDEX(Задача2!$B$6:$K$6,10)</f>
        <v>32-64-91</v>
      </c>
      <c r="C108" s="2" t="n">
        <f aca="false">INDEX(Задача2!$B$7:$K$7,5)</f>
        <v>0</v>
      </c>
      <c r="D108" s="2" t="n">
        <f aca="false">INDEX(Задача2!$B$7:$K$7,7)</f>
        <v>0</v>
      </c>
      <c r="E108" s="2" t="n">
        <f aca="false">INDEX(Задача2!$B$7:$K$7,10)</f>
        <v>0</v>
      </c>
      <c r="F108" s="5" t="n">
        <f aca="false">(C108+D108+E108)/3</f>
        <v>0</v>
      </c>
    </row>
    <row r="109" customFormat="false" ht="15" hidden="false" customHeight="false" outlineLevel="0" collapsed="false">
      <c r="A109" s="2" t="n">
        <v>108</v>
      </c>
      <c r="B109" s="2" t="str">
        <f aca="false">INDEX(Задача2!$B$6:$K$6,5)&amp;"-"&amp;INDEX(Задача2!$B$6:$K$6,8)&amp;"-"&amp;INDEX(Задача2!$B$6:$K$6,9)</f>
        <v>32-67-71</v>
      </c>
      <c r="C109" s="2" t="n">
        <f aca="false">INDEX(Задача2!$B$7:$K$7,5)</f>
        <v>0</v>
      </c>
      <c r="D109" s="2" t="n">
        <f aca="false">INDEX(Задача2!$B$7:$K$7,8)</f>
        <v>0</v>
      </c>
      <c r="E109" s="2" t="n">
        <f aca="false">INDEX(Задача2!$B$7:$K$7,9)</f>
        <v>0</v>
      </c>
      <c r="F109" s="5" t="n">
        <f aca="false">(C109+D109+E109)/3</f>
        <v>0</v>
      </c>
    </row>
    <row r="110" customFormat="false" ht="15" hidden="false" customHeight="false" outlineLevel="0" collapsed="false">
      <c r="A110" s="2" t="n">
        <v>109</v>
      </c>
      <c r="B110" s="2" t="str">
        <f aca="false">INDEX(Задача2!$B$6:$K$6,5)&amp;"-"&amp;INDEX(Задача2!$B$6:$K$6,8)&amp;"-"&amp;INDEX(Задача2!$B$6:$K$6,10)</f>
        <v>32-67-91</v>
      </c>
      <c r="C110" s="2" t="n">
        <f aca="false">INDEX(Задача2!$B$7:$K$7,5)</f>
        <v>0</v>
      </c>
      <c r="D110" s="2" t="n">
        <f aca="false">INDEX(Задача2!$B$7:$K$7,8)</f>
        <v>0</v>
      </c>
      <c r="E110" s="2" t="n">
        <f aca="false">INDEX(Задача2!$B$7:$K$7,10)</f>
        <v>0</v>
      </c>
      <c r="F110" s="5" t="n">
        <f aca="false">(C110+D110+E110)/3</f>
        <v>0</v>
      </c>
    </row>
    <row r="111" customFormat="false" ht="15" hidden="false" customHeight="false" outlineLevel="0" collapsed="false">
      <c r="A111" s="2" t="n">
        <v>110</v>
      </c>
      <c r="B111" s="2" t="str">
        <f aca="false">INDEX(Задача2!$B$6:$K$6,5)&amp;"-"&amp;INDEX(Задача2!$B$6:$K$6,9)&amp;"-"&amp;INDEX(Задача2!$B$6:$K$6,10)</f>
        <v>32-71-91</v>
      </c>
      <c r="C111" s="2" t="n">
        <f aca="false">INDEX(Задача2!$B$7:$K$7,5)</f>
        <v>0</v>
      </c>
      <c r="D111" s="2" t="n">
        <f aca="false">INDEX(Задача2!$B$7:$K$7,9)</f>
        <v>0</v>
      </c>
      <c r="E111" s="2" t="n">
        <f aca="false">INDEX(Задача2!$B$7:$K$7,10)</f>
        <v>0</v>
      </c>
      <c r="F111" s="5" t="n">
        <f aca="false">(C111+D111+E111)/3</f>
        <v>0</v>
      </c>
    </row>
    <row r="112" customFormat="false" ht="15" hidden="false" customHeight="false" outlineLevel="0" collapsed="false">
      <c r="A112" s="2" t="n">
        <v>111</v>
      </c>
      <c r="B112" s="2" t="str">
        <f aca="false">INDEX(Задача2!$B$6:$K$6,6)&amp;"-"&amp;INDEX(Задача2!$B$6:$K$6,7)&amp;"-"&amp;INDEX(Задача2!$B$6:$K$6,8)</f>
        <v>56-64-67</v>
      </c>
      <c r="C112" s="2" t="n">
        <f aca="false">INDEX(Задача2!$B$7:$K$7,6)</f>
        <v>0</v>
      </c>
      <c r="D112" s="2" t="n">
        <f aca="false">INDEX(Задача2!$B$7:$K$7,7)</f>
        <v>0</v>
      </c>
      <c r="E112" s="2" t="n">
        <f aca="false">INDEX(Задача2!$B$7:$K$7,8)</f>
        <v>0</v>
      </c>
      <c r="F112" s="5" t="n">
        <f aca="false">(C112+D112+E112)/3</f>
        <v>0</v>
      </c>
    </row>
    <row r="113" customFormat="false" ht="15" hidden="false" customHeight="false" outlineLevel="0" collapsed="false">
      <c r="A113" s="2" t="n">
        <v>112</v>
      </c>
      <c r="B113" s="2" t="str">
        <f aca="false">INDEX(Задача2!$B$6:$K$6,6)&amp;"-"&amp;INDEX(Задача2!$B$6:$K$6,7)&amp;"-"&amp;INDEX(Задача2!$B$6:$K$6,9)</f>
        <v>56-64-71</v>
      </c>
      <c r="C113" s="2" t="n">
        <f aca="false">INDEX(Задача2!$B$7:$K$7,6)</f>
        <v>0</v>
      </c>
      <c r="D113" s="2" t="n">
        <f aca="false">INDEX(Задача2!$B$7:$K$7,7)</f>
        <v>0</v>
      </c>
      <c r="E113" s="2" t="n">
        <f aca="false">INDEX(Задача2!$B$7:$K$7,9)</f>
        <v>0</v>
      </c>
      <c r="F113" s="5" t="n">
        <f aca="false">(C113+D113+E113)/3</f>
        <v>0</v>
      </c>
    </row>
    <row r="114" customFormat="false" ht="15" hidden="false" customHeight="false" outlineLevel="0" collapsed="false">
      <c r="A114" s="2" t="n">
        <v>113</v>
      </c>
      <c r="B114" s="2" t="str">
        <f aca="false">INDEX(Задача2!$B$6:$K$6,6)&amp;"-"&amp;INDEX(Задача2!$B$6:$K$6,7)&amp;"-"&amp;INDEX(Задача2!$B$6:$K$6,10)</f>
        <v>56-64-91</v>
      </c>
      <c r="C114" s="2" t="n">
        <f aca="false">INDEX(Задача2!$B$7:$K$7,6)</f>
        <v>0</v>
      </c>
      <c r="D114" s="2" t="n">
        <f aca="false">INDEX(Задача2!$B$7:$K$7,7)</f>
        <v>0</v>
      </c>
      <c r="E114" s="2" t="n">
        <f aca="false">INDEX(Задача2!$B$7:$K$7,10)</f>
        <v>0</v>
      </c>
      <c r="F114" s="5" t="n">
        <f aca="false">(C114+D114+E114)/3</f>
        <v>0</v>
      </c>
    </row>
    <row r="115" customFormat="false" ht="15" hidden="false" customHeight="false" outlineLevel="0" collapsed="false">
      <c r="A115" s="2" t="n">
        <v>114</v>
      </c>
      <c r="B115" s="2" t="str">
        <f aca="false">INDEX(Задача2!$B$6:$K$6,6)&amp;"-"&amp;INDEX(Задача2!$B$6:$K$6,8)&amp;"-"&amp;INDEX(Задача2!$B$6:$K$6,9)</f>
        <v>56-67-71</v>
      </c>
      <c r="C115" s="2" t="n">
        <f aca="false">INDEX(Задача2!$B$7:$K$7,6)</f>
        <v>0</v>
      </c>
      <c r="D115" s="2" t="n">
        <f aca="false">INDEX(Задача2!$B$7:$K$7,8)</f>
        <v>0</v>
      </c>
      <c r="E115" s="2" t="n">
        <f aca="false">INDEX(Задача2!$B$7:$K$7,9)</f>
        <v>0</v>
      </c>
      <c r="F115" s="5" t="n">
        <f aca="false">(C115+D115+E115)/3</f>
        <v>0</v>
      </c>
    </row>
    <row r="116" customFormat="false" ht="15" hidden="false" customHeight="false" outlineLevel="0" collapsed="false">
      <c r="A116" s="2" t="n">
        <v>115</v>
      </c>
      <c r="B116" s="2" t="str">
        <f aca="false">INDEX(Задача2!$B$6:$K$6,6)&amp;"-"&amp;INDEX(Задача2!$B$6:$K$6,8)&amp;"-"&amp;INDEX(Задача2!$B$6:$K$6,10)</f>
        <v>56-67-91</v>
      </c>
      <c r="C116" s="2" t="n">
        <f aca="false">INDEX(Задача2!$B$7:$K$7,6)</f>
        <v>0</v>
      </c>
      <c r="D116" s="2" t="n">
        <f aca="false">INDEX(Задача2!$B$7:$K$7,8)</f>
        <v>0</v>
      </c>
      <c r="E116" s="2" t="n">
        <f aca="false">INDEX(Задача2!$B$7:$K$7,10)</f>
        <v>0</v>
      </c>
      <c r="F116" s="5" t="n">
        <f aca="false">(C116+D116+E116)/3</f>
        <v>0</v>
      </c>
    </row>
    <row r="117" customFormat="false" ht="15" hidden="false" customHeight="false" outlineLevel="0" collapsed="false">
      <c r="A117" s="2" t="n">
        <v>116</v>
      </c>
      <c r="B117" s="2" t="str">
        <f aca="false">INDEX(Задача2!$B$6:$K$6,6)&amp;"-"&amp;INDEX(Задача2!$B$6:$K$6,9)&amp;"-"&amp;INDEX(Задача2!$B$6:$K$6,10)</f>
        <v>56-71-91</v>
      </c>
      <c r="C117" s="2" t="n">
        <f aca="false">INDEX(Задача2!$B$7:$K$7,6)</f>
        <v>0</v>
      </c>
      <c r="D117" s="2" t="n">
        <f aca="false">INDEX(Задача2!$B$7:$K$7,9)</f>
        <v>0</v>
      </c>
      <c r="E117" s="2" t="n">
        <f aca="false">INDEX(Задача2!$B$7:$K$7,10)</f>
        <v>0</v>
      </c>
      <c r="F117" s="5" t="n">
        <f aca="false">(C117+D117+E117)/3</f>
        <v>0</v>
      </c>
    </row>
    <row r="118" customFormat="false" ht="15" hidden="false" customHeight="false" outlineLevel="0" collapsed="false">
      <c r="A118" s="2" t="n">
        <v>117</v>
      </c>
      <c r="B118" s="2" t="str">
        <f aca="false">INDEX(Задача2!$B$6:$K$6,7)&amp;"-"&amp;INDEX(Задача2!$B$6:$K$6,8)&amp;"-"&amp;INDEX(Задача2!$B$6:$K$6,9)</f>
        <v>64-67-71</v>
      </c>
      <c r="C118" s="2" t="n">
        <f aca="false">INDEX(Задача2!$B$7:$K$7,7)</f>
        <v>0</v>
      </c>
      <c r="D118" s="2" t="n">
        <f aca="false">INDEX(Задача2!$B$7:$K$7,8)</f>
        <v>0</v>
      </c>
      <c r="E118" s="2" t="n">
        <f aca="false">INDEX(Задача2!$B$7:$K$7,9)</f>
        <v>0</v>
      </c>
      <c r="F118" s="5" t="n">
        <f aca="false">(C118+D118+E118)/3</f>
        <v>0</v>
      </c>
    </row>
    <row r="119" customFormat="false" ht="15" hidden="false" customHeight="false" outlineLevel="0" collapsed="false">
      <c r="A119" s="2" t="n">
        <v>118</v>
      </c>
      <c r="B119" s="2" t="str">
        <f aca="false">INDEX(Задача2!$B$6:$K$6,7)&amp;"-"&amp;INDEX(Задача2!$B$6:$K$6,8)&amp;"-"&amp;INDEX(Задача2!$B$6:$K$6,10)</f>
        <v>64-67-91</v>
      </c>
      <c r="C119" s="2" t="n">
        <f aca="false">INDEX(Задача2!$B$7:$K$7,7)</f>
        <v>0</v>
      </c>
      <c r="D119" s="2" t="n">
        <f aca="false">INDEX(Задача2!$B$7:$K$7,8)</f>
        <v>0</v>
      </c>
      <c r="E119" s="2" t="n">
        <f aca="false">INDEX(Задача2!$B$7:$K$7,10)</f>
        <v>0</v>
      </c>
      <c r="F119" s="5" t="n">
        <f aca="false">(C119+D119+E119)/3</f>
        <v>0</v>
      </c>
    </row>
    <row r="120" customFormat="false" ht="15" hidden="false" customHeight="false" outlineLevel="0" collapsed="false">
      <c r="A120" s="2" t="n">
        <v>119</v>
      </c>
      <c r="B120" s="2" t="str">
        <f aca="false">INDEX(Задача2!$B$6:$K$6,7)&amp;"-"&amp;INDEX(Задача2!$B$6:$K$6,9)&amp;"-"&amp;INDEX(Задача2!$B$6:$K$6,10)</f>
        <v>64-71-91</v>
      </c>
      <c r="C120" s="2" t="n">
        <f aca="false">INDEX(Задача2!$B$7:$K$7,7)</f>
        <v>0</v>
      </c>
      <c r="D120" s="2" t="n">
        <f aca="false">INDEX(Задача2!$B$7:$K$7,9)</f>
        <v>0</v>
      </c>
      <c r="E120" s="2" t="n">
        <f aca="false">INDEX(Задача2!$B$7:$K$7,10)</f>
        <v>0</v>
      </c>
      <c r="F120" s="5" t="n">
        <f aca="false">(C120+D120+E120)/3</f>
        <v>0</v>
      </c>
    </row>
    <row r="121" customFormat="false" ht="15" hidden="false" customHeight="false" outlineLevel="0" collapsed="false">
      <c r="A121" s="2" t="n">
        <v>120</v>
      </c>
      <c r="B121" s="2" t="str">
        <f aca="false">INDEX(Задача2!$B$6:$K$6,8)&amp;"-"&amp;INDEX(Задача2!$B$6:$K$6,9)&amp;"-"&amp;INDEX(Задача2!$B$6:$K$6,10)</f>
        <v>67-71-91</v>
      </c>
      <c r="C121" s="2" t="n">
        <f aca="false">INDEX(Задача2!$B$7:$K$7,8)</f>
        <v>0</v>
      </c>
      <c r="D121" s="2" t="n">
        <f aca="false">INDEX(Задача2!$B$7:$K$7,9)</f>
        <v>0</v>
      </c>
      <c r="E121" s="2" t="n">
        <f aca="false">INDEX(Задача2!$B$7:$K$7,10)</f>
        <v>0</v>
      </c>
      <c r="F121" s="5" t="n">
        <f aca="false">(C121+D121+E121)/3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2026-10-24T09:14:27Z</dcterms:created>
  <dc:creator>openpyxl</dc:creator>
  <dc:description/>
  <dc:language>en-US</dc:language>
  <cp:lastModifiedBy/>
  <dcterms:modified xsi:type="dcterms:W3CDTF">2026-10-24T09:14:27Z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