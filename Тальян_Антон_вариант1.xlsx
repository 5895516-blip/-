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ча 1" sheetId="1" state="visible" r:id="rId1"/>
    <sheet xmlns:r="http://schemas.openxmlformats.org/officeDocument/2006/relationships" name="Задача 2" sheetId="2" state="visible" r:id="rId2"/>
    <sheet xmlns:r="http://schemas.openxmlformats.org/officeDocument/2006/relationships" name="Задача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</cols>
  <sheetData>
    <row r="1">
      <c r="A1" t="inlineStr">
        <is>
          <t>Тальян Антон, вариант 1</t>
        </is>
      </c>
    </row>
    <row r="3">
      <c r="A3" s="1" t="inlineStr">
        <is>
          <t>Задача 1</t>
        </is>
      </c>
    </row>
    <row r="5">
      <c r="A5" t="inlineStr">
        <is>
          <t>N (вся партия), шт</t>
        </is>
      </c>
      <c r="B5" t="n">
        <v>100000</v>
      </c>
    </row>
    <row r="6">
      <c r="A6" t="inlineStr">
        <is>
          <t>n (выборка), шт</t>
        </is>
      </c>
      <c r="B6" t="n">
        <v>200</v>
      </c>
    </row>
    <row r="7">
      <c r="A7" t="inlineStr">
        <is>
          <t>σ, ч</t>
        </is>
      </c>
      <c r="B7" t="n">
        <v>100</v>
      </c>
    </row>
    <row r="8">
      <c r="A8" t="inlineStr">
        <is>
          <t>средняя по выборке, ч</t>
        </is>
      </c>
      <c r="B8" t="n">
        <v>980</v>
      </c>
    </row>
    <row r="9">
      <c r="A9" t="inlineStr">
        <is>
          <t>P</t>
        </is>
      </c>
      <c r="B9" t="n">
        <v>0.997</v>
      </c>
    </row>
    <row r="10">
      <c r="A10" t="inlineStr">
        <is>
          <t>t</t>
        </is>
      </c>
      <c r="B10" t="n">
        <v>3</v>
      </c>
      <c r="C10" t="inlineStr">
        <is>
          <t>по таблице, для P=0,997</t>
        </is>
      </c>
    </row>
    <row r="12">
      <c r="A12" t="inlineStr">
        <is>
          <t>средняя ошибка μ</t>
        </is>
      </c>
      <c r="B12" s="2">
        <f>SQRT(B7^2/B6*(1-B6/B5))</f>
        <v>7.06399320497974</v>
      </c>
    </row>
    <row r="13">
      <c r="A13" t="inlineStr">
        <is>
          <t>предельная ошибка Δ</t>
        </is>
      </c>
      <c r="B13" s="2">
        <f>B10*B12</f>
        <v>21.1919796149392</v>
      </c>
    </row>
    <row r="15">
      <c r="A15" t="inlineStr">
        <is>
          <t>нижняя граница</t>
        </is>
      </c>
      <c r="B15" s="2">
        <f>B8-B13</f>
        <v>958.808020385061</v>
      </c>
    </row>
    <row r="16">
      <c r="A16" t="inlineStr">
        <is>
          <t>верхняя граница</t>
        </is>
      </c>
      <c r="B16" s="2">
        <f>B8+B13</f>
        <v>1001.19197961494</v>
      </c>
    </row>
    <row r="18">
      <c r="A18" s="1" t="inlineStr">
        <is>
          <t>Ответ:</t>
        </is>
      </c>
    </row>
    <row r="19">
      <c r="A19" t="inlineStr">
        <is>
          <t>1) предельная ошибка</t>
        </is>
      </c>
      <c r="B19" s="2">
        <f>B13</f>
        <v>21.1919796149392</v>
      </c>
      <c r="C19" t="inlineStr">
        <is>
          <t>ч</t>
        </is>
      </c>
    </row>
    <row r="20">
      <c r="A20" t="inlineStr">
        <is>
          <t>2) интервал</t>
        </is>
      </c>
      <c r="B20" s="2">
        <f>B15</f>
        <v>958.808020385061</v>
      </c>
      <c r="C20" t="inlineStr">
        <is>
          <t>≤ x ≤</t>
        </is>
      </c>
      <c r="D20" s="2">
        <f>B16</f>
        <v>1001.19197961494</v>
      </c>
      <c r="E20" t="inlineStr">
        <is>
          <t>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Задача 2</t>
        </is>
      </c>
    </row>
    <row r="3" ht="30" customHeight="1">
      <c r="A3" s="3" t="inlineStr">
        <is>
          <t>Отдел</t>
        </is>
      </c>
      <c r="B3" s="3" t="inlineStr">
        <is>
          <t>Всего N</t>
        </is>
      </c>
      <c r="C3" s="3" t="inlineStr">
        <is>
          <t>Обследовано n</t>
        </is>
      </c>
      <c r="D3" s="3" t="inlineStr">
        <is>
          <t>Средняя x</t>
        </is>
      </c>
      <c r="E3" s="3" t="inlineStr">
        <is>
          <t>Дисперсия σ²</t>
        </is>
      </c>
      <c r="F3" s="3" t="inlineStr">
        <is>
          <t>x*n</t>
        </is>
      </c>
      <c r="G3" s="3" t="inlineStr">
        <is>
          <t>σ²*n</t>
        </is>
      </c>
    </row>
    <row r="4">
      <c r="A4" s="4" t="inlineStr">
        <is>
          <t>А</t>
        </is>
      </c>
      <c r="B4" s="4" t="n">
        <v>2000</v>
      </c>
      <c r="C4" s="4" t="n">
        <v>200</v>
      </c>
      <c r="D4" s="4" t="n">
        <v>15</v>
      </c>
      <c r="E4" s="4" t="n">
        <v>45</v>
      </c>
      <c r="F4" s="4">
        <f>D4*C4</f>
        <v>3000</v>
      </c>
      <c r="G4" s="4">
        <f>E4*C4</f>
        <v>9000</v>
      </c>
    </row>
    <row r="5">
      <c r="A5" s="4" t="inlineStr">
        <is>
          <t>Б</t>
        </is>
      </c>
      <c r="B5" s="4" t="n">
        <v>2800</v>
      </c>
      <c r="C5" s="4" t="n">
        <v>280</v>
      </c>
      <c r="D5" s="4" t="n">
        <v>10</v>
      </c>
      <c r="E5" s="4" t="n">
        <v>22</v>
      </c>
      <c r="F5" s="4">
        <f>D5*C5</f>
        <v>2800</v>
      </c>
      <c r="G5" s="4">
        <f>E5*C5</f>
        <v>6160</v>
      </c>
    </row>
    <row r="6">
      <c r="A6" s="4" t="inlineStr">
        <is>
          <t>В</t>
        </is>
      </c>
      <c r="B6" s="4" t="n">
        <v>1600</v>
      </c>
      <c r="C6" s="4" t="n">
        <v>160</v>
      </c>
      <c r="D6" s="4" t="n">
        <v>14</v>
      </c>
      <c r="E6" s="4" t="n">
        <v>15</v>
      </c>
      <c r="F6" s="4">
        <f>D6*C6</f>
        <v>2240</v>
      </c>
      <c r="G6" s="4">
        <f>E6*C6</f>
        <v>2400</v>
      </c>
    </row>
    <row r="7">
      <c r="A7" s="4" t="inlineStr">
        <is>
          <t>Итого</t>
        </is>
      </c>
      <c r="B7" s="4">
        <f>SUM(B4:B6)</f>
        <v>6400</v>
      </c>
      <c r="C7" s="4">
        <f>SUM(C4:C6)</f>
        <v>640</v>
      </c>
      <c r="D7" s="4" t="n"/>
      <c r="E7" s="4" t="n"/>
      <c r="F7" s="4">
        <f>SUM(F4:F6)</f>
        <v>8040</v>
      </c>
      <c r="G7" s="4">
        <f>SUM(G4:G6)</f>
        <v>17560</v>
      </c>
    </row>
    <row r="9">
      <c r="A9" t="inlineStr">
        <is>
          <t>выборочная средняя</t>
        </is>
      </c>
      <c r="C9" s="5">
        <f>F7/C7</f>
        <v>12.5625</v>
      </c>
    </row>
    <row r="10">
      <c r="A10" t="inlineStr">
        <is>
          <t>средняя из внутригр. дисп.</t>
        </is>
      </c>
      <c r="C10" s="5">
        <f>G7/C7</f>
        <v>27.4375</v>
      </c>
    </row>
    <row r="11">
      <c r="A11" t="inlineStr">
        <is>
          <t>P</t>
        </is>
      </c>
      <c r="C11" t="n">
        <v>0.954</v>
      </c>
    </row>
    <row r="12">
      <c r="A12" t="inlineStr">
        <is>
          <t>t</t>
        </is>
      </c>
      <c r="C12" t="n">
        <v>2</v>
      </c>
    </row>
    <row r="13">
      <c r="A13" t="inlineStr">
        <is>
          <t>μ</t>
        </is>
      </c>
      <c r="C13" s="5">
        <f>SQRT(C10/C7*(1-C7/B7))</f>
        <v>0.196428064122722</v>
      </c>
    </row>
    <row r="14">
      <c r="A14" t="inlineStr">
        <is>
          <t>Δ</t>
        </is>
      </c>
      <c r="C14" s="5">
        <f>C12*C13</f>
        <v>0.392856128245443</v>
      </c>
    </row>
    <row r="15">
      <c r="A15" t="inlineStr">
        <is>
          <t>нижняя граница</t>
        </is>
      </c>
      <c r="C15" s="5">
        <f>C9-C14</f>
        <v>12.1696438717546</v>
      </c>
    </row>
    <row r="16">
      <c r="A16" t="inlineStr">
        <is>
          <t>верхняя граница</t>
        </is>
      </c>
      <c r="C16" s="5">
        <f>C9+C14</f>
        <v>12.9553561282454</v>
      </c>
    </row>
    <row r="18">
      <c r="A18" s="1" t="inlineStr">
        <is>
          <t>Ответ:</t>
        </is>
      </c>
    </row>
    <row r="19">
      <c r="A19" t="inlineStr">
        <is>
          <t>выборочная средняя</t>
        </is>
      </c>
      <c r="C19" s="2">
        <f>C9</f>
        <v>12.5625</v>
      </c>
      <c r="D19" t="inlineStr">
        <is>
          <t>дн.</t>
        </is>
      </c>
    </row>
    <row r="20">
      <c r="A20" t="inlineStr">
        <is>
          <t>пределы</t>
        </is>
      </c>
      <c r="B20" s="2">
        <f>C15</f>
        <v>12.1696438717546</v>
      </c>
      <c r="C20" t="inlineStr">
        <is>
          <t>≤ x ≤</t>
        </is>
      </c>
      <c r="D20" s="2">
        <f>C16</f>
        <v>12.9553561282454</v>
      </c>
      <c r="E20" t="inlineStr">
        <is>
          <t>дн.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Задача 3</t>
        </is>
      </c>
    </row>
    <row r="3">
      <c r="A3" s="3" t="inlineStr">
        <is>
          <t>Район</t>
        </is>
      </c>
      <c r="B3" s="3" t="inlineStr">
        <is>
          <t>x, ц/га</t>
        </is>
      </c>
      <c r="C3" s="3" t="inlineStr">
        <is>
          <t>x - xср</t>
        </is>
      </c>
      <c r="D3" s="3" t="inlineStr">
        <is>
          <t>(x - xср)²</t>
        </is>
      </c>
    </row>
    <row r="4">
      <c r="A4" s="4" t="n">
        <v>1</v>
      </c>
      <c r="B4" s="4" t="n">
        <v>17.5</v>
      </c>
      <c r="C4" s="6">
        <f>B4-$B$11</f>
        <v>2.16666666666667</v>
      </c>
      <c r="D4" s="6">
        <f>C4^2</f>
        <v>4.69444444444444</v>
      </c>
    </row>
    <row r="5">
      <c r="A5" s="4" t="n">
        <v>2</v>
      </c>
      <c r="B5" s="4" t="n">
        <v>15</v>
      </c>
      <c r="C5" s="6">
        <f>B5-$B$11</f>
        <v>-0.333333333333334</v>
      </c>
      <c r="D5" s="6">
        <f>C5^2</f>
        <v>0.111111111111112</v>
      </c>
    </row>
    <row r="6">
      <c r="A6" s="4" t="n">
        <v>3</v>
      </c>
      <c r="B6" s="4" t="n">
        <v>14.5</v>
      </c>
      <c r="C6" s="6">
        <f>B6-$B$11</f>
        <v>-0.833333333333334</v>
      </c>
      <c r="D6" s="6">
        <f>C6^2</f>
        <v>0.694444444444445</v>
      </c>
    </row>
    <row r="7">
      <c r="A7" s="4" t="n">
        <v>4</v>
      </c>
      <c r="B7" s="4" t="n">
        <v>13</v>
      </c>
      <c r="C7" s="6">
        <f>B7-$B$11</f>
        <v>-2.33333333333333</v>
      </c>
      <c r="D7" s="6">
        <f>C7^2</f>
        <v>5.44444444444445</v>
      </c>
    </row>
    <row r="8">
      <c r="A8" s="4" t="n">
        <v>5</v>
      </c>
      <c r="B8" s="4" t="n">
        <v>18</v>
      </c>
      <c r="C8" s="6">
        <f>B8-$B$11</f>
        <v>2.66666666666667</v>
      </c>
      <c r="D8" s="6">
        <f>C8^2</f>
        <v>7.11111111111111</v>
      </c>
    </row>
    <row r="9">
      <c r="A9" s="4" t="n">
        <v>6</v>
      </c>
      <c r="B9" s="4" t="n">
        <v>14</v>
      </c>
      <c r="C9" s="6">
        <f>B9-$B$11</f>
        <v>-1.33333333333333</v>
      </c>
      <c r="D9" s="6">
        <f>C9^2</f>
        <v>1.77777777777778</v>
      </c>
    </row>
    <row r="10">
      <c r="A10" s="4" t="inlineStr">
        <is>
          <t>Сумма</t>
        </is>
      </c>
      <c r="B10" s="4">
        <f>SUM(B4:B9)</f>
        <v>92</v>
      </c>
      <c r="C10" s="4" t="n"/>
      <c r="D10" s="6">
        <f>SUM(D4:D9)</f>
        <v>19.8333333333333</v>
      </c>
    </row>
    <row r="11">
      <c r="A11" t="inlineStr">
        <is>
          <t>xср</t>
        </is>
      </c>
      <c r="B11" s="2">
        <f>AVERAGE(B4:B9)</f>
        <v>15.3333333333333</v>
      </c>
    </row>
    <row r="13">
      <c r="A13" t="inlineStr">
        <is>
          <t>R (всего районов)</t>
        </is>
      </c>
      <c r="B13" t="n">
        <v>24</v>
      </c>
    </row>
    <row r="14">
      <c r="A14" t="inlineStr">
        <is>
          <t>r (отобрано)</t>
        </is>
      </c>
      <c r="B14">
        <f>COUNT(B4:B9)</f>
        <v>6</v>
      </c>
    </row>
    <row r="15">
      <c r="A15" t="inlineStr">
        <is>
          <t>межсерийная дисп. δ²</t>
        </is>
      </c>
      <c r="B15" s="2">
        <f>D10/B14</f>
        <v>3.30555555555556</v>
      </c>
    </row>
    <row r="16">
      <c r="A16" t="inlineStr">
        <is>
          <t>P</t>
        </is>
      </c>
      <c r="B16" t="n">
        <v>0.997</v>
      </c>
    </row>
    <row r="17">
      <c r="A17" t="inlineStr">
        <is>
          <t>t</t>
        </is>
      </c>
      <c r="B17" t="n">
        <v>3</v>
      </c>
    </row>
    <row r="18">
      <c r="A18" t="inlineStr">
        <is>
          <t>μ</t>
        </is>
      </c>
      <c r="B18" s="2">
        <f>SQRT(B15/B14*(B13-B14)/(B13-1))</f>
        <v>0.656627306993743</v>
      </c>
    </row>
    <row r="19">
      <c r="A19" t="inlineStr">
        <is>
          <t>Δ</t>
        </is>
      </c>
      <c r="B19" s="2">
        <f>B17*B18</f>
        <v>1.96988192098123</v>
      </c>
    </row>
    <row r="20">
      <c r="A20" t="inlineStr">
        <is>
          <t>нижняя граница</t>
        </is>
      </c>
      <c r="B20" s="2">
        <f>B11-B19</f>
        <v>13.3634514123521</v>
      </c>
    </row>
    <row r="21">
      <c r="A21" t="inlineStr">
        <is>
          <t>верхняя граница</t>
        </is>
      </c>
      <c r="B21" s="2">
        <f>B11+B19</f>
        <v>17.3032152543146</v>
      </c>
    </row>
    <row r="23">
      <c r="A23" s="1" t="inlineStr">
        <is>
          <t>Ответ:</t>
        </is>
      </c>
    </row>
    <row r="24">
      <c r="A24" t="inlineStr">
        <is>
          <t>пределы урожайности</t>
        </is>
      </c>
      <c r="B24" s="2">
        <f>B20</f>
        <v>13.3634514123521</v>
      </c>
      <c r="C24" t="inlineStr">
        <is>
          <t>≤ x ≤</t>
        </is>
      </c>
      <c r="D24" s="2">
        <f>B21</f>
        <v>17.3032152543146</v>
      </c>
      <c r="E24" t="inlineStr">
        <is>
          <t>ц/га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Антон Тальян</dc:creator>
  <dcterms:created xmlns:dcterms="http://purl.org/dc/terms/" xmlns:xsi="http://www.w3.org/2001/XMLSchema-instance" xsi:type="dcterms:W3CDTF">2026-10-17T09:21:24Z</dcterms:created>
  <dcterms:modified xmlns:dcterms="http://purl.org/dc/terms/" xmlns:xsi="http://www.w3.org/2001/XMLSchema-instance" xsi:type="dcterms:W3CDTF">2026-10-17T09:21:25Z</dcterms:modified>
  <cp:lastModifiedBy>Антон Тальян</cp:lastModifiedBy>
</cp:coreProperties>
</file>